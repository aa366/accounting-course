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bad36\Documents\Accounting-course\"/>
    </mc:Choice>
  </mc:AlternateContent>
  <xr:revisionPtr revIDLastSave="0" documentId="13_ncr:1_{8E963BF7-EF1D-4216-A959-3BD872539DB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1" l="1"/>
  <c r="M23" i="1"/>
  <c r="E20" i="1"/>
  <c r="C20" i="1" s="1"/>
  <c r="J17" i="1"/>
  <c r="D17" i="1" s="1"/>
  <c r="J18" i="1"/>
  <c r="D18" i="1" s="1"/>
  <c r="J19" i="1"/>
  <c r="D19" i="1" s="1"/>
  <c r="M19" i="1" s="1"/>
  <c r="J20" i="1"/>
  <c r="D20" i="1" s="1"/>
  <c r="J21" i="1"/>
  <c r="D21" i="1" s="1"/>
  <c r="J22" i="1"/>
  <c r="D22" i="1" s="1"/>
  <c r="J16" i="1"/>
  <c r="D16" i="1" s="1"/>
  <c r="C17" i="1"/>
  <c r="C18" i="1"/>
  <c r="C19" i="1"/>
  <c r="C21" i="1"/>
  <c r="C22" i="1"/>
  <c r="C16" i="1"/>
  <c r="E23" i="1"/>
  <c r="F23" i="1"/>
  <c r="G23" i="1"/>
  <c r="H23" i="1"/>
  <c r="I23" i="1"/>
  <c r="K23" i="1"/>
  <c r="L23" i="1"/>
  <c r="M4" i="1"/>
  <c r="M5" i="1"/>
  <c r="M6" i="1"/>
  <c r="M7" i="1"/>
  <c r="M8" i="1"/>
  <c r="M9" i="1"/>
  <c r="M10" i="1"/>
  <c r="M3" i="1"/>
  <c r="J9" i="1"/>
  <c r="D9" i="1" s="1"/>
  <c r="J10" i="1"/>
  <c r="D10" i="1" s="1"/>
  <c r="J11" i="1"/>
  <c r="D11" i="1" s="1"/>
  <c r="J12" i="1"/>
  <c r="D12" i="1" s="1"/>
  <c r="J13" i="1"/>
  <c r="D13" i="1" s="1"/>
  <c r="J14" i="1"/>
  <c r="J8" i="1"/>
  <c r="E15" i="1"/>
  <c r="F15" i="1"/>
  <c r="G15" i="1"/>
  <c r="H15" i="1"/>
  <c r="I15" i="1"/>
  <c r="K15" i="1"/>
  <c r="L15" i="1"/>
  <c r="D14" i="1"/>
  <c r="M14" i="1" s="1"/>
  <c r="D8" i="1"/>
  <c r="C9" i="1"/>
  <c r="C10" i="1"/>
  <c r="C11" i="1"/>
  <c r="C12" i="1"/>
  <c r="M12" i="1" s="1"/>
  <c r="C13" i="1"/>
  <c r="C14" i="1"/>
  <c r="C8" i="1"/>
  <c r="D4" i="1"/>
  <c r="D5" i="1"/>
  <c r="D6" i="1"/>
  <c r="C4" i="1"/>
  <c r="C5" i="1"/>
  <c r="C6" i="1"/>
  <c r="C3" i="1"/>
  <c r="C7" i="1" s="1"/>
  <c r="D3" i="1"/>
  <c r="D7" i="1" s="1"/>
  <c r="F7" i="1"/>
  <c r="G7" i="1"/>
  <c r="H7" i="1"/>
  <c r="I7" i="1"/>
  <c r="J7" i="1"/>
  <c r="K7" i="1"/>
  <c r="L7" i="1"/>
  <c r="E7" i="1"/>
  <c r="M21" i="1" l="1"/>
  <c r="M17" i="1"/>
  <c r="J23" i="1"/>
  <c r="M20" i="1"/>
  <c r="D23" i="1"/>
  <c r="M18" i="1"/>
  <c r="M16" i="1"/>
  <c r="C23" i="1"/>
  <c r="M13" i="1"/>
  <c r="M11" i="1"/>
  <c r="C15" i="1"/>
  <c r="D15" i="1"/>
  <c r="J15" i="1"/>
  <c r="M15" i="1" l="1"/>
</calcChain>
</file>

<file path=xl/sharedStrings.xml><?xml version="1.0" encoding="utf-8"?>
<sst xmlns="http://schemas.openxmlformats.org/spreadsheetml/2006/main" count="43" uniqueCount="35">
  <si>
    <t>التاريخ</t>
  </si>
  <si>
    <t>البيان</t>
  </si>
  <si>
    <t>الإجمالي</t>
  </si>
  <si>
    <t xml:space="preserve">نقدية </t>
  </si>
  <si>
    <t>أوراق قبض</t>
  </si>
  <si>
    <t>حسابات عملاء</t>
  </si>
  <si>
    <t>مبيعات</t>
  </si>
  <si>
    <t xml:space="preserve">إيرادات اخري </t>
  </si>
  <si>
    <t>خصم
 مسموح
 به</t>
  </si>
  <si>
    <t>ارصدة دائنة 
- ضرايب</t>
  </si>
  <si>
    <t xml:space="preserve">مصروفات
 عمومية وإدارية </t>
  </si>
  <si>
    <t>مدين</t>
  </si>
  <si>
    <t>دائن</t>
  </si>
  <si>
    <t>فاتورة بيع 500</t>
  </si>
  <si>
    <t>قيد 21 -اجمالي أكتوبر</t>
  </si>
  <si>
    <t>فاتورة بيع 501</t>
  </si>
  <si>
    <t>فاتورة بيع 502</t>
  </si>
  <si>
    <t>فاتورة بيع 503</t>
  </si>
  <si>
    <t>Balanced</t>
  </si>
  <si>
    <t>قيد 41 - اجمالي نوفمبر</t>
  </si>
  <si>
    <t>قيد 50 - اجمالي ديسمبر</t>
  </si>
  <si>
    <t>فاتورة بيع 504</t>
  </si>
  <si>
    <t>فاتورة بيع 505</t>
  </si>
  <si>
    <t>فاتورة بيع 506</t>
  </si>
  <si>
    <t>فاتورة بيع 507</t>
  </si>
  <si>
    <t>فاتورة بيع 508</t>
  </si>
  <si>
    <t>فاتورة بيع 510</t>
  </si>
  <si>
    <t>فاتورة بيع 511</t>
  </si>
  <si>
    <t>فاتورة بيع 512</t>
  </si>
  <si>
    <t>فاتورة بيع 513</t>
  </si>
  <si>
    <t>فاتورة بيع 514</t>
  </si>
  <si>
    <t>فاتورة بيع 515</t>
  </si>
  <si>
    <t>فاتورة بيع 516</t>
  </si>
  <si>
    <t>فاتورة بيع 517</t>
  </si>
  <si>
    <t>فاتورة بيع 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</si>
</sst>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 readingOrder="2"/>
    </xf>
    <xf numFmtId="16" fontId="0" fillId="0" borderId="0" xfId="0" applyNumberFormat="1" applyAlignment="1">
      <alignment horizontal="center" vertical="center" readingOrder="2"/>
    </xf>
    <xf numFmtId="164" fontId="0" fillId="0" borderId="0" xfId="1" applyNumberFormat="1" applyFont="1" applyAlignment="1">
      <alignment horizontal="center" vertical="center" readingOrder="2"/>
    </xf>
    <xf numFmtId="164" fontId="0" fillId="0" borderId="0" xfId="1" applyNumberFormat="1" applyFont="1" applyAlignment="1">
      <alignment horizontal="center" vertical="center" wrapText="1" readingOrder="2"/>
    </xf>
    <xf numFmtId="164" fontId="0" fillId="0" borderId="0" xfId="1" applyNumberFormat="1" applyFont="1" applyAlignment="1">
      <alignment vertical="center" readingOrder="2"/>
    </xf>
    <xf numFmtId="43" fontId="0" fillId="0" borderId="0" xfId="1" applyFont="1" applyAlignment="1">
      <alignment horizontal="center" vertical="center" readingOrder="2"/>
    </xf>
    <xf numFmtId="16" fontId="0" fillId="0" borderId="0" xfId="0" applyNumberFormat="1" applyAlignment="1">
      <alignment horizontal="center" vertical="center" readingOrder="2"/>
    </xf>
    <xf numFmtId="164" fontId="0" fillId="0" borderId="0" xfId="1" applyNumberFormat="1" applyFont="1" applyAlignment="1">
      <alignment horizontal="center" vertical="center" readingOrder="2"/>
    </xf>
    <xf numFmtId="0" fontId="0" fillId="0" borderId="0" xfId="0" applyAlignment="1">
      <alignment horizontal="center" vertical="center" readingOrder="2"/>
    </xf>
    <xf numFmtId="43" fontId="0" fillId="0" borderId="0" xfId="1" applyNumberFormat="1" applyFont="1" applyAlignment="1">
      <alignment horizontal="center" vertical="center" readingOrder="2"/>
    </xf>
  </cellXfs>
  <cellStyles count="2">
    <cellStyle name="Comma" xfId="1" builtinId="3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rightToLeft="1" tabSelected="1" topLeftCell="D1" zoomScale="166" zoomScaleNormal="166" workbookViewId="0">
      <pane ySplit="1" topLeftCell="A14" activePane="bottomLeft" state="frozen"/>
      <selection pane="bottomLeft" activeCell="J24" sqref="J24"/>
    </sheetView>
  </sheetViews>
  <sheetFormatPr defaultRowHeight="14.25" x14ac:dyDescent="0.2"/>
  <cols>
    <col min="1" max="1" width="7.75" style="2" bestFit="1" customWidth="1"/>
    <col min="2" max="2" width="10.25" style="1" bestFit="1" customWidth="1"/>
    <col min="3" max="3" width="22.5" style="3" bestFit="1" customWidth="1"/>
    <col min="4" max="4" width="25.625" style="3" bestFit="1" customWidth="1"/>
    <col min="5" max="5" width="10.125" style="3" bestFit="1" customWidth="1"/>
    <col min="6" max="6" width="10" style="3" bestFit="1" customWidth="1"/>
    <col min="7" max="7" width="9.125" style="3" bestFit="1" customWidth="1"/>
    <col min="8" max="8" width="8.125" style="3" customWidth="1"/>
    <col min="9" max="10" width="10.125" style="3" bestFit="1" customWidth="1"/>
    <col min="11" max="11" width="11.125" style="3" customWidth="1"/>
    <col min="12" max="12" width="10.25" style="3" customWidth="1"/>
    <col min="13" max="13" width="8.5" style="1" bestFit="1" customWidth="1"/>
    <col min="14" max="16384" width="9" style="1"/>
  </cols>
  <sheetData>
    <row r="1" spans="1:13" ht="42.75" x14ac:dyDescent="0.2">
      <c r="A1" s="7" t="s">
        <v>0</v>
      </c>
      <c r="B1" s="9" t="s">
        <v>1</v>
      </c>
      <c r="C1" s="8" t="s">
        <v>2</v>
      </c>
      <c r="D1" s="8"/>
      <c r="E1" s="3" t="s">
        <v>3</v>
      </c>
      <c r="F1" s="3" t="s">
        <v>4</v>
      </c>
      <c r="G1" s="4" t="s">
        <v>5</v>
      </c>
      <c r="H1" s="4" t="s">
        <v>8</v>
      </c>
      <c r="I1" s="3" t="s">
        <v>6</v>
      </c>
      <c r="J1" s="4" t="s">
        <v>9</v>
      </c>
      <c r="K1" s="3" t="s">
        <v>7</v>
      </c>
      <c r="L1" s="4" t="s">
        <v>10</v>
      </c>
      <c r="M1" s="1" t="s">
        <v>18</v>
      </c>
    </row>
    <row r="2" spans="1:13" x14ac:dyDescent="0.2">
      <c r="A2" s="7"/>
      <c r="B2" s="9"/>
      <c r="C2" s="5" t="s">
        <v>11</v>
      </c>
      <c r="D2" s="5" t="s">
        <v>12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12</v>
      </c>
      <c r="J2" s="3" t="s">
        <v>12</v>
      </c>
      <c r="K2" s="3" t="s">
        <v>12</v>
      </c>
      <c r="L2" s="3" t="s">
        <v>11</v>
      </c>
    </row>
    <row r="3" spans="1:13" x14ac:dyDescent="0.2">
      <c r="A3" s="2">
        <v>37897</v>
      </c>
      <c r="B3" s="1" t="s">
        <v>13</v>
      </c>
      <c r="C3" s="3">
        <f>E3+F3+G3+H3+L3</f>
        <v>24920</v>
      </c>
      <c r="D3" s="3">
        <f>I3+J3+K3</f>
        <v>24920</v>
      </c>
      <c r="E3" s="3">
        <v>10000</v>
      </c>
      <c r="F3" s="3">
        <v>13699</v>
      </c>
      <c r="H3" s="3">
        <v>1221</v>
      </c>
      <c r="I3" s="3">
        <v>22200</v>
      </c>
      <c r="J3" s="3">
        <v>2220</v>
      </c>
      <c r="K3" s="3">
        <v>500</v>
      </c>
      <c r="M3" s="1" t="b">
        <f>IF(D3=C3,TRUE,FALSE)</f>
        <v>1</v>
      </c>
    </row>
    <row r="4" spans="1:13" x14ac:dyDescent="0.2">
      <c r="A4" s="2">
        <v>37918</v>
      </c>
      <c r="B4" s="1" t="s">
        <v>15</v>
      </c>
      <c r="C4" s="3">
        <f t="shared" ref="C4:C6" si="0">E4+F4+G4+H4+L4</f>
        <v>75840</v>
      </c>
      <c r="D4" s="3">
        <f t="shared" ref="D4:D6" si="1">I4+J4+K4</f>
        <v>75840</v>
      </c>
      <c r="E4" s="3">
        <v>0</v>
      </c>
      <c r="F4" s="3">
        <v>75840</v>
      </c>
      <c r="I4" s="3">
        <v>68400</v>
      </c>
      <c r="J4" s="3">
        <v>6840</v>
      </c>
      <c r="K4" s="3">
        <v>600</v>
      </c>
      <c r="M4" s="1" t="b">
        <f t="shared" ref="M4:M23" si="2">IF(D4=C4,TRUE,FALSE)</f>
        <v>1</v>
      </c>
    </row>
    <row r="5" spans="1:13" x14ac:dyDescent="0.2">
      <c r="A5" s="2">
        <v>37919</v>
      </c>
      <c r="B5" s="1" t="s">
        <v>16</v>
      </c>
      <c r="C5" s="3">
        <f t="shared" si="0"/>
        <v>25080</v>
      </c>
      <c r="D5" s="3">
        <f t="shared" si="1"/>
        <v>25080</v>
      </c>
      <c r="E5" s="3">
        <v>1000</v>
      </c>
      <c r="F5" s="3">
        <v>22826</v>
      </c>
      <c r="H5" s="3">
        <v>1254</v>
      </c>
      <c r="I5" s="3">
        <v>22800</v>
      </c>
      <c r="J5" s="3">
        <v>2280</v>
      </c>
      <c r="M5" s="1" t="b">
        <f t="shared" si="2"/>
        <v>1</v>
      </c>
    </row>
    <row r="6" spans="1:13" x14ac:dyDescent="0.2">
      <c r="A6" s="2">
        <v>37922</v>
      </c>
      <c r="B6" s="1" t="s">
        <v>17</v>
      </c>
      <c r="C6" s="3">
        <f t="shared" si="0"/>
        <v>103020</v>
      </c>
      <c r="D6" s="3">
        <f t="shared" si="1"/>
        <v>103020</v>
      </c>
      <c r="E6" s="3">
        <v>97869</v>
      </c>
      <c r="H6" s="3">
        <v>5151</v>
      </c>
      <c r="I6" s="3">
        <v>93654.5</v>
      </c>
      <c r="J6" s="3">
        <v>9365.5</v>
      </c>
      <c r="M6" s="1" t="b">
        <f t="shared" si="2"/>
        <v>1</v>
      </c>
    </row>
    <row r="7" spans="1:13" x14ac:dyDescent="0.2">
      <c r="A7" s="7" t="s">
        <v>14</v>
      </c>
      <c r="B7" s="7"/>
      <c r="C7" s="3">
        <f t="shared" ref="C7:D7" si="3">SUM(C3:C6)</f>
        <v>228860</v>
      </c>
      <c r="D7" s="3">
        <f t="shared" si="3"/>
        <v>228860</v>
      </c>
      <c r="E7" s="3">
        <f>SUM(E3:E6)</f>
        <v>108869</v>
      </c>
      <c r="F7" s="3">
        <f t="shared" ref="F7" si="4">SUM(F3:F6)</f>
        <v>112365</v>
      </c>
      <c r="G7" s="3">
        <f t="shared" ref="G7:H7" si="5">SUM(G3:G6)</f>
        <v>0</v>
      </c>
      <c r="H7" s="3">
        <f t="shared" si="5"/>
        <v>7626</v>
      </c>
      <c r="I7" s="3">
        <f t="shared" ref="I7" si="6">SUM(I3:I6)</f>
        <v>207054.5</v>
      </c>
      <c r="J7" s="3">
        <f t="shared" ref="J7:K7" si="7">SUM(J3:J6)</f>
        <v>20705.5</v>
      </c>
      <c r="K7" s="3">
        <f t="shared" si="7"/>
        <v>1100</v>
      </c>
      <c r="L7" s="3">
        <f t="shared" ref="L7" si="8">SUM(L3:L6)</f>
        <v>0</v>
      </c>
      <c r="M7" s="1" t="b">
        <f t="shared" si="2"/>
        <v>1</v>
      </c>
    </row>
    <row r="8" spans="1:13" x14ac:dyDescent="0.2">
      <c r="A8" s="2">
        <v>46328</v>
      </c>
      <c r="B8" s="1" t="s">
        <v>21</v>
      </c>
      <c r="C8" s="3">
        <f>E8+F8+G8+H8+L8</f>
        <v>5940</v>
      </c>
      <c r="D8" s="3">
        <f>I8+J8+K8</f>
        <v>5940</v>
      </c>
      <c r="E8" s="3">
        <v>5643</v>
      </c>
      <c r="H8" s="3">
        <v>297</v>
      </c>
      <c r="I8" s="3">
        <v>5400</v>
      </c>
      <c r="J8" s="3">
        <f>I8/10</f>
        <v>540</v>
      </c>
      <c r="M8" s="1" t="b">
        <f t="shared" si="2"/>
        <v>1</v>
      </c>
    </row>
    <row r="9" spans="1:13" x14ac:dyDescent="0.2">
      <c r="A9" s="2">
        <v>46328</v>
      </c>
      <c r="B9" s="1" t="s">
        <v>22</v>
      </c>
      <c r="C9" s="3">
        <f t="shared" ref="C9:C14" si="9">E9+F9+G9+H9+L9</f>
        <v>5940</v>
      </c>
      <c r="D9" s="3">
        <f t="shared" ref="D9:D14" si="10">I9+J9+K9</f>
        <v>5940</v>
      </c>
      <c r="E9" s="3">
        <v>0</v>
      </c>
      <c r="F9" s="3">
        <v>5643</v>
      </c>
      <c r="H9" s="3">
        <v>297</v>
      </c>
      <c r="I9" s="3">
        <v>5400</v>
      </c>
      <c r="J9" s="3">
        <f t="shared" ref="J9:J14" si="11">I9/10</f>
        <v>540</v>
      </c>
      <c r="M9" s="1" t="b">
        <f t="shared" si="2"/>
        <v>1</v>
      </c>
    </row>
    <row r="10" spans="1:13" x14ac:dyDescent="0.2">
      <c r="A10" s="2">
        <v>46328</v>
      </c>
      <c r="B10" s="1" t="s">
        <v>23</v>
      </c>
      <c r="C10" s="3">
        <f t="shared" si="9"/>
        <v>19010</v>
      </c>
      <c r="D10" s="3">
        <f t="shared" si="10"/>
        <v>19010</v>
      </c>
      <c r="E10" s="3">
        <v>0</v>
      </c>
      <c r="F10" s="3">
        <v>0</v>
      </c>
      <c r="G10" s="3">
        <v>19010</v>
      </c>
      <c r="H10" s="3">
        <v>0</v>
      </c>
      <c r="I10" s="3">
        <v>17100</v>
      </c>
      <c r="J10" s="3">
        <f t="shared" si="11"/>
        <v>1710</v>
      </c>
      <c r="K10" s="3">
        <v>200</v>
      </c>
      <c r="M10" s="1" t="b">
        <f t="shared" si="2"/>
        <v>1</v>
      </c>
    </row>
    <row r="11" spans="1:13" x14ac:dyDescent="0.2">
      <c r="A11" s="2">
        <v>46328</v>
      </c>
      <c r="B11" s="1" t="s">
        <v>24</v>
      </c>
      <c r="C11" s="3">
        <f t="shared" si="9"/>
        <v>18810</v>
      </c>
      <c r="D11" s="3">
        <f t="shared" si="10"/>
        <v>18810</v>
      </c>
      <c r="E11" s="3">
        <v>0</v>
      </c>
      <c r="F11" s="3">
        <v>0</v>
      </c>
      <c r="G11" s="3">
        <v>18810</v>
      </c>
      <c r="H11" s="3">
        <v>0</v>
      </c>
      <c r="I11" s="3">
        <v>17100</v>
      </c>
      <c r="J11" s="3">
        <f t="shared" si="11"/>
        <v>1710</v>
      </c>
      <c r="M11" s="1" t="b">
        <f t="shared" si="2"/>
        <v>1</v>
      </c>
    </row>
    <row r="12" spans="1:13" x14ac:dyDescent="0.2">
      <c r="A12" s="2">
        <v>46328</v>
      </c>
      <c r="B12" s="1" t="s">
        <v>25</v>
      </c>
      <c r="C12" s="3">
        <f t="shared" si="9"/>
        <v>18810</v>
      </c>
      <c r="D12" s="3">
        <f t="shared" si="10"/>
        <v>18810</v>
      </c>
      <c r="E12" s="3">
        <v>0</v>
      </c>
      <c r="F12" s="3">
        <v>18810</v>
      </c>
      <c r="G12" s="3">
        <v>0</v>
      </c>
      <c r="H12" s="3">
        <v>0</v>
      </c>
      <c r="I12" s="3">
        <v>17100</v>
      </c>
      <c r="J12" s="3">
        <f t="shared" si="11"/>
        <v>1710</v>
      </c>
      <c r="M12" s="1" t="b">
        <f t="shared" si="2"/>
        <v>1</v>
      </c>
    </row>
    <row r="13" spans="1:13" x14ac:dyDescent="0.2">
      <c r="A13" s="2">
        <v>46328</v>
      </c>
      <c r="B13" s="1" t="s">
        <v>26</v>
      </c>
      <c r="C13" s="3">
        <f t="shared" si="9"/>
        <v>14770</v>
      </c>
      <c r="D13" s="3">
        <f t="shared" si="10"/>
        <v>14770</v>
      </c>
      <c r="E13" s="3">
        <v>0</v>
      </c>
      <c r="F13" s="3">
        <v>14044</v>
      </c>
      <c r="H13" s="3">
        <v>726</v>
      </c>
      <c r="I13" s="3">
        <v>13200</v>
      </c>
      <c r="J13" s="3">
        <f t="shared" si="11"/>
        <v>1320</v>
      </c>
      <c r="K13" s="3">
        <v>250</v>
      </c>
      <c r="M13" s="1" t="b">
        <f t="shared" si="2"/>
        <v>1</v>
      </c>
    </row>
    <row r="14" spans="1:13" x14ac:dyDescent="0.2">
      <c r="A14" s="2">
        <v>46328</v>
      </c>
      <c r="B14" s="1" t="s">
        <v>27</v>
      </c>
      <c r="C14" s="3">
        <f t="shared" si="9"/>
        <v>15840</v>
      </c>
      <c r="D14" s="3">
        <f t="shared" si="10"/>
        <v>15840</v>
      </c>
      <c r="E14" s="3">
        <v>0</v>
      </c>
      <c r="F14" s="3">
        <v>15840</v>
      </c>
      <c r="G14" s="3">
        <v>0</v>
      </c>
      <c r="H14" s="3">
        <v>0</v>
      </c>
      <c r="I14" s="3">
        <v>14400</v>
      </c>
      <c r="J14" s="3">
        <f t="shared" si="11"/>
        <v>1440</v>
      </c>
      <c r="K14" s="3">
        <v>0</v>
      </c>
      <c r="M14" s="1" t="b">
        <f t="shared" si="2"/>
        <v>1</v>
      </c>
    </row>
    <row r="15" spans="1:13" x14ac:dyDescent="0.2">
      <c r="A15" s="7" t="s">
        <v>19</v>
      </c>
      <c r="B15" s="7"/>
      <c r="C15" s="3">
        <f>SUM(C8:C14)</f>
        <v>99120</v>
      </c>
      <c r="D15" s="3">
        <f>SUM(D8:D14)</f>
        <v>99120</v>
      </c>
      <c r="E15" s="3">
        <f t="shared" ref="E15:L15" si="12">SUM(E8:E14)</f>
        <v>5643</v>
      </c>
      <c r="F15" s="3">
        <f t="shared" si="12"/>
        <v>54337</v>
      </c>
      <c r="G15" s="3">
        <f t="shared" si="12"/>
        <v>37820</v>
      </c>
      <c r="H15" s="3">
        <f t="shared" si="12"/>
        <v>1320</v>
      </c>
      <c r="I15" s="3">
        <f t="shared" si="12"/>
        <v>89700</v>
      </c>
      <c r="J15" s="3">
        <f t="shared" si="12"/>
        <v>8970</v>
      </c>
      <c r="K15" s="3">
        <f t="shared" si="12"/>
        <v>450</v>
      </c>
      <c r="L15" s="3">
        <f t="shared" si="12"/>
        <v>0</v>
      </c>
      <c r="M15" s="1" t="b">
        <f t="shared" si="2"/>
        <v>1</v>
      </c>
    </row>
    <row r="16" spans="1:13" x14ac:dyDescent="0.2">
      <c r="A16" s="2">
        <v>44902</v>
      </c>
      <c r="B16" s="1" t="s">
        <v>28</v>
      </c>
      <c r="C16" s="3">
        <f>E16+F16+G16+H16+L16</f>
        <v>7722</v>
      </c>
      <c r="D16" s="3">
        <f>I16+J16+K16</f>
        <v>7722</v>
      </c>
      <c r="E16" s="3">
        <v>0</v>
      </c>
      <c r="F16" s="3">
        <v>7335.9</v>
      </c>
      <c r="G16" s="3">
        <v>0</v>
      </c>
      <c r="H16" s="3">
        <v>386.1</v>
      </c>
      <c r="I16" s="3">
        <v>7020</v>
      </c>
      <c r="J16" s="3">
        <f>I16/10</f>
        <v>702</v>
      </c>
      <c r="K16" s="3">
        <v>0</v>
      </c>
      <c r="M16" s="1" t="b">
        <f t="shared" si="2"/>
        <v>1</v>
      </c>
    </row>
    <row r="17" spans="1:13" x14ac:dyDescent="0.2">
      <c r="A17" s="2">
        <v>44902</v>
      </c>
      <c r="B17" s="1" t="s">
        <v>29</v>
      </c>
      <c r="C17" s="3">
        <f t="shared" ref="C17:C22" si="13">E17+F17+G17+H17+L17</f>
        <v>21120</v>
      </c>
      <c r="D17" s="3">
        <f t="shared" ref="D17:D22" si="14">I17+J17+K17</f>
        <v>21120</v>
      </c>
      <c r="E17" s="3">
        <v>0</v>
      </c>
      <c r="F17" s="3">
        <v>21120</v>
      </c>
      <c r="G17" s="3">
        <v>0</v>
      </c>
      <c r="H17" s="3">
        <v>0</v>
      </c>
      <c r="I17" s="3">
        <v>19200</v>
      </c>
      <c r="J17" s="3">
        <f t="shared" ref="J17:J22" si="15">I17/10</f>
        <v>1920</v>
      </c>
      <c r="K17" s="3">
        <v>0</v>
      </c>
      <c r="M17" s="1" t="b">
        <f t="shared" si="2"/>
        <v>1</v>
      </c>
    </row>
    <row r="18" spans="1:13" x14ac:dyDescent="0.2">
      <c r="A18" s="2">
        <v>44902</v>
      </c>
      <c r="B18" s="1" t="s">
        <v>30</v>
      </c>
      <c r="C18" s="3">
        <f t="shared" si="13"/>
        <v>21780</v>
      </c>
      <c r="D18" s="3">
        <f t="shared" si="14"/>
        <v>21780</v>
      </c>
      <c r="E18" s="3">
        <v>21780</v>
      </c>
      <c r="F18" s="3">
        <v>0</v>
      </c>
      <c r="G18" s="3">
        <v>0</v>
      </c>
      <c r="H18" s="3">
        <v>0</v>
      </c>
      <c r="I18" s="3">
        <v>19800</v>
      </c>
      <c r="J18" s="3">
        <f t="shared" si="15"/>
        <v>1980</v>
      </c>
      <c r="M18" s="1" t="b">
        <f t="shared" si="2"/>
        <v>1</v>
      </c>
    </row>
    <row r="19" spans="1:13" x14ac:dyDescent="0.2">
      <c r="A19" s="2">
        <v>44902</v>
      </c>
      <c r="B19" s="1" t="s">
        <v>31</v>
      </c>
      <c r="C19" s="3">
        <f t="shared" si="13"/>
        <v>105600</v>
      </c>
      <c r="D19" s="3">
        <f t="shared" si="14"/>
        <v>105600</v>
      </c>
      <c r="E19" s="3">
        <v>0</v>
      </c>
      <c r="F19" s="3">
        <v>105600</v>
      </c>
      <c r="G19" s="3">
        <v>0</v>
      </c>
      <c r="H19" s="3">
        <v>0</v>
      </c>
      <c r="I19" s="3">
        <v>96000</v>
      </c>
      <c r="J19" s="3">
        <f t="shared" si="15"/>
        <v>9600</v>
      </c>
      <c r="M19" s="1" t="b">
        <f t="shared" si="2"/>
        <v>1</v>
      </c>
    </row>
    <row r="20" spans="1:13" x14ac:dyDescent="0.2">
      <c r="A20" s="2">
        <v>44902</v>
      </c>
      <c r="B20" s="1" t="s">
        <v>32</v>
      </c>
      <c r="C20" s="3">
        <f t="shared" si="13"/>
        <v>21780</v>
      </c>
      <c r="D20" s="3">
        <f t="shared" si="14"/>
        <v>21780</v>
      </c>
      <c r="E20" s="3">
        <f>20691-5000</f>
        <v>15691</v>
      </c>
      <c r="F20" s="3">
        <v>0</v>
      </c>
      <c r="G20" s="3">
        <v>0</v>
      </c>
      <c r="H20" s="3">
        <v>1089</v>
      </c>
      <c r="I20" s="3">
        <v>19800</v>
      </c>
      <c r="J20" s="3">
        <f t="shared" si="15"/>
        <v>1980</v>
      </c>
      <c r="K20" s="3">
        <v>0</v>
      </c>
      <c r="L20" s="3">
        <v>5000</v>
      </c>
      <c r="M20" s="1" t="b">
        <f t="shared" si="2"/>
        <v>1</v>
      </c>
    </row>
    <row r="21" spans="1:13" x14ac:dyDescent="0.2">
      <c r="A21" s="2">
        <v>44902</v>
      </c>
      <c r="B21" s="1" t="s">
        <v>33</v>
      </c>
      <c r="C21" s="3">
        <f t="shared" si="13"/>
        <v>37620</v>
      </c>
      <c r="D21" s="3">
        <f t="shared" si="14"/>
        <v>37620</v>
      </c>
      <c r="E21" s="3">
        <v>0</v>
      </c>
      <c r="F21" s="3">
        <v>0</v>
      </c>
      <c r="G21" s="3">
        <v>37620</v>
      </c>
      <c r="H21" s="3">
        <v>0</v>
      </c>
      <c r="I21" s="3">
        <v>34200</v>
      </c>
      <c r="J21" s="3">
        <f t="shared" si="15"/>
        <v>3420</v>
      </c>
      <c r="K21" s="3">
        <v>0</v>
      </c>
      <c r="L21" s="3">
        <v>0</v>
      </c>
      <c r="M21" s="1" t="b">
        <f t="shared" si="2"/>
        <v>1</v>
      </c>
    </row>
    <row r="22" spans="1:13" x14ac:dyDescent="0.2">
      <c r="A22" s="2">
        <v>44902</v>
      </c>
      <c r="B22" s="1" t="s">
        <v>34</v>
      </c>
      <c r="C22" s="6">
        <f t="shared" si="13"/>
        <v>18300</v>
      </c>
      <c r="D22" s="6">
        <f t="shared" si="14"/>
        <v>18300.04</v>
      </c>
      <c r="E22" s="3">
        <v>17385</v>
      </c>
      <c r="F22" s="3">
        <v>0</v>
      </c>
      <c r="G22" s="3">
        <v>0</v>
      </c>
      <c r="H22" s="3">
        <v>915</v>
      </c>
      <c r="I22" s="3">
        <v>16636.400000000001</v>
      </c>
      <c r="J22" s="10">
        <f t="shared" si="15"/>
        <v>1663.64</v>
      </c>
      <c r="K22" s="3">
        <v>0</v>
      </c>
      <c r="M22" s="1" t="b">
        <f t="shared" si="2"/>
        <v>0</v>
      </c>
    </row>
    <row r="23" spans="1:13" x14ac:dyDescent="0.2">
      <c r="A23" s="7" t="s">
        <v>20</v>
      </c>
      <c r="B23" s="7"/>
      <c r="C23" s="6">
        <f>SUM(C16:C22)</f>
        <v>233922</v>
      </c>
      <c r="D23" s="6">
        <f t="shared" ref="D23:L23" si="16">SUM(D16:D22)</f>
        <v>233922.04</v>
      </c>
      <c r="E23" s="3">
        <f t="shared" si="16"/>
        <v>54856</v>
      </c>
      <c r="F23" s="3">
        <f t="shared" si="16"/>
        <v>134055.9</v>
      </c>
      <c r="G23" s="3">
        <f t="shared" si="16"/>
        <v>37620</v>
      </c>
      <c r="H23" s="3">
        <f t="shared" si="16"/>
        <v>2390.1</v>
      </c>
      <c r="I23" s="3">
        <f t="shared" si="16"/>
        <v>212656.4</v>
      </c>
      <c r="J23" s="3">
        <f t="shared" si="16"/>
        <v>21265.64</v>
      </c>
      <c r="K23" s="3">
        <f t="shared" si="16"/>
        <v>0</v>
      </c>
      <c r="L23" s="3">
        <f t="shared" si="16"/>
        <v>5000</v>
      </c>
      <c r="M23" s="1" t="b">
        <f t="shared" si="2"/>
        <v>0</v>
      </c>
    </row>
  </sheetData>
  <mergeCells count="6">
    <mergeCell ref="A7:B7"/>
    <mergeCell ref="A15:B15"/>
    <mergeCell ref="A23:B23"/>
    <mergeCell ref="C1:D1"/>
    <mergeCell ref="A1:A2"/>
    <mergeCell ref="B1:B2"/>
  </mergeCells>
  <phoneticPr fontId="2" type="noConversion"/>
  <conditionalFormatting sqref="M1 M3:M23">
    <cfRule type="cellIs" dxfId="2" priority="1" operator="equal">
      <formula>FALSE</formula>
    </cfRule>
  </conditionalFormatting>
  <conditionalFormatting sqref="M1 M3:M1048576">
    <cfRule type="cellIs" dxfId="1" priority="2" operator="equal">
      <formula>"FALSE"</formula>
    </cfRule>
    <cfRule type="cellIs" dxfId="0" priority="3" operator="equal">
      <formula>TRUE</formula>
    </cfRule>
  </conditionalFormatting>
  <conditionalFormatting sqref="M3:M1048576 M1">
    <cfRule type="colorScale" priority="4">
      <colorScale>
        <cfvo type="min"/>
        <cfvo type="max"/>
        <color rgb="FFFF7128"/>
        <color rgb="FFFFEF9C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verticalDpi="0" r:id="rId1"/>
  <ignoredErrors>
    <ignoredError sqref="C1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Abdelwahab Anwr</dc:creator>
  <cp:lastModifiedBy>Abdelwahab Anwr</cp:lastModifiedBy>
  <dcterms:created xsi:type="dcterms:W3CDTF">2015-06-05T18:17:20Z</dcterms:created>
  <dcterms:modified xsi:type="dcterms:W3CDTF">2026-10-12T19:13:06Z</dcterms:modified>
</cp:coreProperties>
</file>
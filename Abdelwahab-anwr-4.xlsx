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bad36\Documents\Accounting-course\"/>
    </mc:Choice>
  </mc:AlternateContent>
  <xr:revisionPtr revIDLastSave="0" documentId="13_ncr:1_{1C879107-C5EB-44A4-B52F-63FFB7940ACD}" xr6:coauthVersionLast="47" xr6:coauthVersionMax="47" xr10:uidLastSave="{00000000-0000-0000-0000-000000000000}"/>
  <bookViews>
    <workbookView xWindow="-120" yWindow="-120" windowWidth="20730" windowHeight="11160" tabRatio="587" xr2:uid="{00000000-000D-0000-FFFF-FFFF00000000}"/>
  </bookViews>
  <sheets>
    <sheet name="دفتر يومية المشتريات" sheetId="2" r:id="rId1"/>
    <sheet name="دفتر  يومية مبيعات" sheetId="1" r:id="rId2"/>
    <sheet name="دفتر حسابات الاجلة" sheetId="4" r:id="rId3"/>
    <sheet name="دفتر مردودات البيع والشرا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1" i="5" l="1"/>
  <c r="O11" i="5"/>
  <c r="K11" i="5"/>
  <c r="L11" i="5"/>
  <c r="M11" i="5"/>
  <c r="N11" i="5"/>
  <c r="J11" i="5"/>
  <c r="I11" i="5"/>
  <c r="G11" i="5"/>
  <c r="H11" i="5"/>
  <c r="E11" i="5"/>
  <c r="G8" i="5"/>
  <c r="H8" i="5"/>
  <c r="I8" i="5"/>
  <c r="J8" i="5"/>
  <c r="L8" i="5"/>
  <c r="M8" i="5"/>
  <c r="N8" i="5"/>
  <c r="O8" i="5"/>
  <c r="P8" i="5"/>
  <c r="E8" i="5"/>
  <c r="F9" i="5"/>
  <c r="D9" i="5" s="1"/>
  <c r="F10" i="5"/>
  <c r="D10" i="5" s="1"/>
  <c r="F7" i="5"/>
  <c r="F8" i="5" s="1"/>
  <c r="C10" i="5"/>
  <c r="D6" i="5"/>
  <c r="F15" i="2"/>
  <c r="G15" i="2"/>
  <c r="H15" i="2"/>
  <c r="I15" i="2"/>
  <c r="D15" i="2" s="1"/>
  <c r="J15" i="2"/>
  <c r="K15" i="2"/>
  <c r="E15" i="2"/>
  <c r="C10" i="2"/>
  <c r="C11" i="2"/>
  <c r="D10" i="2"/>
  <c r="D11" i="2"/>
  <c r="D12" i="2"/>
  <c r="D13" i="2"/>
  <c r="D14" i="2"/>
  <c r="F9" i="2"/>
  <c r="G9" i="2"/>
  <c r="H9" i="2"/>
  <c r="I9" i="2"/>
  <c r="J9" i="2"/>
  <c r="K9" i="2"/>
  <c r="E9" i="2"/>
  <c r="D7" i="2"/>
  <c r="D8" i="2"/>
  <c r="D9" i="2"/>
  <c r="C7" i="2"/>
  <c r="C8" i="2"/>
  <c r="F8" i="2"/>
  <c r="F10" i="2"/>
  <c r="F11" i="2"/>
  <c r="F12" i="2"/>
  <c r="C12" i="2" s="1"/>
  <c r="F13" i="2"/>
  <c r="C13" i="2" s="1"/>
  <c r="F14" i="2"/>
  <c r="C14" i="2" s="1"/>
  <c r="F7" i="2"/>
  <c r="G5" i="5"/>
  <c r="H5" i="5"/>
  <c r="I5" i="5"/>
  <c r="J5" i="5"/>
  <c r="L5" i="5"/>
  <c r="M5" i="5"/>
  <c r="N5" i="5"/>
  <c r="O5" i="5"/>
  <c r="P5" i="5"/>
  <c r="E5" i="5"/>
  <c r="C4" i="5"/>
  <c r="F3" i="5"/>
  <c r="F4" i="5"/>
  <c r="D4" i="5" s="1"/>
  <c r="Q4" i="5" s="1"/>
  <c r="K4" i="5"/>
  <c r="K6" i="5"/>
  <c r="C6" i="5" s="1"/>
  <c r="K7" i="5"/>
  <c r="C7" i="5" s="1"/>
  <c r="K9" i="5"/>
  <c r="C9" i="5" s="1"/>
  <c r="K3" i="5"/>
  <c r="K5" i="5" s="1"/>
  <c r="C3" i="5"/>
  <c r="L5" i="4"/>
  <c r="L3" i="4"/>
  <c r="G15" i="4"/>
  <c r="H15" i="4"/>
  <c r="I15" i="4"/>
  <c r="J15" i="4"/>
  <c r="K15" i="4"/>
  <c r="F15" i="4"/>
  <c r="E4" i="4"/>
  <c r="E5" i="4"/>
  <c r="E6" i="4"/>
  <c r="E7" i="4"/>
  <c r="E8" i="4"/>
  <c r="E9" i="4"/>
  <c r="E10" i="4"/>
  <c r="E11" i="4"/>
  <c r="L11" i="4" s="1"/>
  <c r="E12" i="4"/>
  <c r="E13" i="4"/>
  <c r="E14" i="4"/>
  <c r="E3" i="4"/>
  <c r="D4" i="4"/>
  <c r="L4" i="4" s="1"/>
  <c r="D5" i="4"/>
  <c r="D6" i="4"/>
  <c r="L6" i="4" s="1"/>
  <c r="D7" i="4"/>
  <c r="D8" i="4"/>
  <c r="L8" i="4" s="1"/>
  <c r="D9" i="4"/>
  <c r="L9" i="4" s="1"/>
  <c r="D10" i="4"/>
  <c r="L10" i="4" s="1"/>
  <c r="D11" i="4"/>
  <c r="D12" i="4"/>
  <c r="D13" i="4"/>
  <c r="D14" i="4"/>
  <c r="L14" i="4" s="1"/>
  <c r="D3" i="4"/>
  <c r="B5" i="4"/>
  <c r="B6" i="4"/>
  <c r="B7" i="4"/>
  <c r="B8" i="4"/>
  <c r="B9" i="4"/>
  <c r="B10" i="4"/>
  <c r="B11" i="4"/>
  <c r="B12" i="4"/>
  <c r="B13" i="4"/>
  <c r="B14" i="4"/>
  <c r="B4" i="4"/>
  <c r="B3" i="4"/>
  <c r="E6" i="2"/>
  <c r="F6" i="2"/>
  <c r="C6" i="2" s="1"/>
  <c r="L6" i="2" s="1"/>
  <c r="G6" i="2"/>
  <c r="H6" i="2"/>
  <c r="I6" i="2"/>
  <c r="D6" i="2" s="1"/>
  <c r="J6" i="2"/>
  <c r="K6" i="2"/>
  <c r="F4" i="2"/>
  <c r="C4" i="2" s="1"/>
  <c r="L4" i="2" s="1"/>
  <c r="F5" i="2"/>
  <c r="C5" i="2" s="1"/>
  <c r="L5" i="2" s="1"/>
  <c r="F3" i="2"/>
  <c r="L10" i="2"/>
  <c r="D4" i="2"/>
  <c r="D5" i="2"/>
  <c r="D3" i="2"/>
  <c r="C3" i="2"/>
  <c r="M22" i="1"/>
  <c r="M23" i="1"/>
  <c r="E20" i="1"/>
  <c r="C20" i="1" s="1"/>
  <c r="J17" i="1"/>
  <c r="D17" i="1" s="1"/>
  <c r="J18" i="1"/>
  <c r="D18" i="1" s="1"/>
  <c r="J19" i="1"/>
  <c r="D19" i="1" s="1"/>
  <c r="M19" i="1" s="1"/>
  <c r="J20" i="1"/>
  <c r="D20" i="1" s="1"/>
  <c r="J21" i="1"/>
  <c r="D21" i="1" s="1"/>
  <c r="J22" i="1"/>
  <c r="D22" i="1" s="1"/>
  <c r="J16" i="1"/>
  <c r="D16" i="1" s="1"/>
  <c r="C17" i="1"/>
  <c r="C18" i="1"/>
  <c r="C19" i="1"/>
  <c r="C21" i="1"/>
  <c r="C22" i="1"/>
  <c r="C16" i="1"/>
  <c r="E23" i="1"/>
  <c r="F23" i="1"/>
  <c r="G23" i="1"/>
  <c r="H23" i="1"/>
  <c r="I23" i="1"/>
  <c r="K23" i="1"/>
  <c r="L23" i="1"/>
  <c r="M4" i="1"/>
  <c r="M5" i="1"/>
  <c r="M6" i="1"/>
  <c r="M7" i="1"/>
  <c r="M8" i="1"/>
  <c r="M9" i="1"/>
  <c r="M10" i="1"/>
  <c r="M3" i="1"/>
  <c r="J9" i="1"/>
  <c r="D9" i="1" s="1"/>
  <c r="J10" i="1"/>
  <c r="D10" i="1" s="1"/>
  <c r="J11" i="1"/>
  <c r="D11" i="1" s="1"/>
  <c r="J12" i="1"/>
  <c r="D12" i="1" s="1"/>
  <c r="J13" i="1"/>
  <c r="D13" i="1" s="1"/>
  <c r="J14" i="1"/>
  <c r="J8" i="1"/>
  <c r="E15" i="1"/>
  <c r="F15" i="1"/>
  <c r="G15" i="1"/>
  <c r="H15" i="1"/>
  <c r="I15" i="1"/>
  <c r="K15" i="1"/>
  <c r="L15" i="1"/>
  <c r="D14" i="1"/>
  <c r="M14" i="1" s="1"/>
  <c r="D8" i="1"/>
  <c r="C9" i="1"/>
  <c r="C10" i="1"/>
  <c r="C11" i="1"/>
  <c r="C12" i="1"/>
  <c r="M12" i="1" s="1"/>
  <c r="C13" i="1"/>
  <c r="C14" i="1"/>
  <c r="C8" i="1"/>
  <c r="D4" i="1"/>
  <c r="D5" i="1"/>
  <c r="D6" i="1"/>
  <c r="C4" i="1"/>
  <c r="C5" i="1"/>
  <c r="C6" i="1"/>
  <c r="C3" i="1"/>
  <c r="C7" i="1" s="1"/>
  <c r="D3" i="1"/>
  <c r="D7" i="1" s="1"/>
  <c r="F7" i="1"/>
  <c r="G7" i="1"/>
  <c r="H7" i="1"/>
  <c r="I7" i="1"/>
  <c r="J7" i="1"/>
  <c r="K7" i="1"/>
  <c r="L7" i="1"/>
  <c r="E7" i="1"/>
  <c r="C5" i="5" l="1"/>
  <c r="F5" i="5"/>
  <c r="D5" i="5" s="1"/>
  <c r="Q5" i="5"/>
  <c r="D7" i="5"/>
  <c r="K8" i="5"/>
  <c r="C8" i="5"/>
  <c r="F11" i="5"/>
  <c r="D11" i="5" s="1"/>
  <c r="D3" i="5"/>
  <c r="Q3" i="5" s="1"/>
  <c r="Q9" i="5"/>
  <c r="C11" i="5"/>
  <c r="D8" i="5"/>
  <c r="Q8" i="5" s="1"/>
  <c r="Q7" i="5"/>
  <c r="Q10" i="5"/>
  <c r="Q6" i="5"/>
  <c r="L7" i="4"/>
  <c r="L13" i="4"/>
  <c r="L12" i="4"/>
  <c r="C15" i="2"/>
  <c r="L15" i="2" s="1"/>
  <c r="L14" i="2"/>
  <c r="L13" i="2"/>
  <c r="L12" i="2"/>
  <c r="L11" i="2"/>
  <c r="C9" i="2"/>
  <c r="L9" i="2" s="1"/>
  <c r="L8" i="2"/>
  <c r="L7" i="2"/>
  <c r="E15" i="4"/>
  <c r="D15" i="4"/>
  <c r="L3" i="2"/>
  <c r="M21" i="1"/>
  <c r="M17" i="1"/>
  <c r="J23" i="1"/>
  <c r="M20" i="1"/>
  <c r="D23" i="1"/>
  <c r="M18" i="1"/>
  <c r="M16" i="1"/>
  <c r="C23" i="1"/>
  <c r="M13" i="1"/>
  <c r="M11" i="1"/>
  <c r="C15" i="1"/>
  <c r="D15" i="1"/>
  <c r="J15" i="1"/>
  <c r="Q11" i="5" l="1"/>
  <c r="L15" i="4"/>
  <c r="M1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bad3662067@gmail.com</author>
  </authors>
  <commentList>
    <comment ref="C4" authorId="0" shapeId="0" xr:uid="{0BD2F2C7-4F51-418F-AB1D-47C0722A3507}">
      <text>
        <r>
          <rPr>
            <sz val="9"/>
            <color indexed="81"/>
            <rFont val="Tahoma"/>
            <family val="2"/>
          </rPr>
          <t xml:space="preserve">فيها مرتجع
</t>
        </r>
      </text>
    </comment>
  </commentList>
</comments>
</file>

<file path=xl/sharedStrings.xml><?xml version="1.0" encoding="utf-8"?>
<sst xmlns="http://schemas.openxmlformats.org/spreadsheetml/2006/main" count="145" uniqueCount="91">
  <si>
    <t>التاريخ</t>
  </si>
  <si>
    <t>البيان</t>
  </si>
  <si>
    <t>الإجمالي</t>
  </si>
  <si>
    <t xml:space="preserve">نقدية </t>
  </si>
  <si>
    <t>أوراق قبض</t>
  </si>
  <si>
    <t>حسابات عملاء</t>
  </si>
  <si>
    <t>مبيعات</t>
  </si>
  <si>
    <t xml:space="preserve">إيرادات اخري </t>
  </si>
  <si>
    <t>خصم
 مسموح
 به</t>
  </si>
  <si>
    <t>ارصدة دائنة 
- ضرايب</t>
  </si>
  <si>
    <t xml:space="preserve">مصروفات
 عمومية وإدارية </t>
  </si>
  <si>
    <t>مدين</t>
  </si>
  <si>
    <t>دائن</t>
  </si>
  <si>
    <t>فاتورة بيع 500</t>
  </si>
  <si>
    <t>قيد 21 -اجمالي أكتوبر</t>
  </si>
  <si>
    <t>فاتورة بيع 501</t>
  </si>
  <si>
    <t>فاتورة بيع 502</t>
  </si>
  <si>
    <t>فاتورة بيع 503</t>
  </si>
  <si>
    <t>Balanced</t>
  </si>
  <si>
    <t>قيد 41 - اجمالي نوفمبر</t>
  </si>
  <si>
    <t>قيد 50 - اجمالي ديسمبر</t>
  </si>
  <si>
    <t>فاتورة بيع 504</t>
  </si>
  <si>
    <t>فاتورة بيع 505</t>
  </si>
  <si>
    <t>فاتورة بيع 506</t>
  </si>
  <si>
    <t>فاتورة بيع 507</t>
  </si>
  <si>
    <t>فاتورة بيع 508</t>
  </si>
  <si>
    <t>فاتورة بيع 510</t>
  </si>
  <si>
    <t>فاتورة بيع 511</t>
  </si>
  <si>
    <t>فاتورة بيع 512</t>
  </si>
  <si>
    <t>فاتورة بيع 513</t>
  </si>
  <si>
    <t>فاتورة بيع 514</t>
  </si>
  <si>
    <t>فاتورة بيع 515</t>
  </si>
  <si>
    <t>فاتورة بيع 516</t>
  </si>
  <si>
    <t>فاتورة بيع 517</t>
  </si>
  <si>
    <t>فاتورة بيع 518</t>
  </si>
  <si>
    <t>مشتريات</t>
  </si>
  <si>
    <t>اصدة دائنة 
ضرايب</t>
  </si>
  <si>
    <t>م.مشتريات</t>
  </si>
  <si>
    <t>نقدية</t>
  </si>
  <si>
    <t>أوراق دفع</t>
  </si>
  <si>
    <t>موردين</t>
  </si>
  <si>
    <t xml:space="preserve">خصم
مكتسب </t>
  </si>
  <si>
    <t xml:space="preserve">مدين </t>
  </si>
  <si>
    <t>فاتورة مشتريات رقم 100</t>
  </si>
  <si>
    <t>فاتورة مشتريات رقم 1001</t>
  </si>
  <si>
    <t>فاتورة مشتريات رقم 315</t>
  </si>
  <si>
    <t>قيد 22 - اجمالي أكتوبر</t>
  </si>
  <si>
    <t>قيد 40 - اجمالي نوفمبر</t>
  </si>
  <si>
    <t>قيد 49 - اجمالي ديسمبر</t>
  </si>
  <si>
    <t>رقم القيد</t>
  </si>
  <si>
    <t>الموردين</t>
  </si>
  <si>
    <t>أوراق الدفع</t>
  </si>
  <si>
    <t>العملاء</t>
  </si>
  <si>
    <t>أوراق القبض</t>
  </si>
  <si>
    <t>النقدية</t>
  </si>
  <si>
    <t>قيد 53 - الإجمالي</t>
  </si>
  <si>
    <t>سداد فاتورة مشتريات 100</t>
  </si>
  <si>
    <t>سداد فاتورة مشتريات 1001</t>
  </si>
  <si>
    <t>سداد فاتورة مشتريات 366</t>
  </si>
  <si>
    <t>سداد فاتورة مشتريات 419</t>
  </si>
  <si>
    <t>رقم
القيد</t>
  </si>
  <si>
    <t>مردود الشراء</t>
  </si>
  <si>
    <t>ارصدة دائنة 
ضرايب</t>
  </si>
  <si>
    <t xml:space="preserve">خصم مكتسب </t>
  </si>
  <si>
    <t>مردود بيع</t>
  </si>
  <si>
    <t>خصم مسموح
 به</t>
  </si>
  <si>
    <t>ارصدة دائنة
 ضرايب</t>
  </si>
  <si>
    <t xml:space="preserve">م. بيع المستند 2 </t>
  </si>
  <si>
    <t>م. شراء مستند 102</t>
  </si>
  <si>
    <t>اجمالي أكتوبر</t>
  </si>
  <si>
    <t>اجمالي نوفمبر</t>
  </si>
  <si>
    <t>اجمالي ديسمبر</t>
  </si>
  <si>
    <t>فاتورة مشتريات رقم 366</t>
  </si>
  <si>
    <t>فاتورة مشتريات رقم 1030</t>
  </si>
  <si>
    <t>فاتورة مشتريات رقم 419</t>
  </si>
  <si>
    <t>فاتورة مشتريات رقم 520</t>
  </si>
  <si>
    <t>فاتورة مشتريات رقم 1035</t>
  </si>
  <si>
    <t>فاتورة مشتريات رقم 1050</t>
  </si>
  <si>
    <t>فاتورة مشتريات رقم 1058</t>
  </si>
  <si>
    <t>سداد فاتورة مبيعات 505</t>
  </si>
  <si>
    <t>سداد فاتورة مبيعات 502</t>
  </si>
  <si>
    <t>سداد فاتورة مبيعات 511</t>
  </si>
  <si>
    <t>سداد فاتورة مبيعات 512</t>
  </si>
  <si>
    <t>سداد فاتورة مبيعات 510</t>
  </si>
  <si>
    <t>سداد فاتورة مبيعات 506</t>
  </si>
  <si>
    <t>سداد فاتورة مبيعات 507</t>
  </si>
  <si>
    <t>سداد فاتورة مبيعات 513.</t>
  </si>
  <si>
    <t>م.بيع المستند 3</t>
  </si>
  <si>
    <t>م. بيع مستند 4</t>
  </si>
  <si>
    <t>م. شراء مستند 103</t>
  </si>
  <si>
    <t>م. شراء مستند 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</si>
</sst>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ج.م.‏&quot;_-;\-* #,##0.00\ &quot;ج.م.‏&quot;_-;_-* &quot;-&quot;??\ &quot;ج.م.‏&quot;_-;_-@_-"/>
    <numFmt numFmtId="43" formatCode="_-* #,##0.00_-;\-* #,##0.00_-;_-* &quot;-&quot;??_-;_-@_-"/>
    <numFmt numFmtId="164" formatCode="_-* #,##0.0_-;\-* #,##0.0_-;_-* &quot;-&quot;??_-;_-@_-"/>
    <numFmt numFmtId="171" formatCode="_-* #,##0_-;\-* #,##0_-;_-* &quot;-&quot;??_-;_-@_-"/>
  </numFmts>
  <fonts count="4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8"/>
      <name val="Arial"/>
      <family val="2"/>
      <scheme val="minor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horizontal="center" vertical="center" readingOrder="2"/>
    </xf>
    <xf numFmtId="16" fontId="0" fillId="0" borderId="0" xfId="0" applyNumberFormat="1" applyAlignment="1">
      <alignment horizontal="center" vertical="center" readingOrder="2"/>
    </xf>
    <xf numFmtId="164" fontId="0" fillId="0" borderId="0" xfId="1" applyNumberFormat="1" applyFont="1" applyAlignment="1">
      <alignment horizontal="center" vertical="center" readingOrder="2"/>
    </xf>
    <xf numFmtId="164" fontId="0" fillId="0" borderId="0" xfId="1" applyNumberFormat="1" applyFont="1" applyAlignment="1">
      <alignment horizontal="center" vertical="center" wrapText="1" readingOrder="2"/>
    </xf>
    <xf numFmtId="164" fontId="0" fillId="0" borderId="0" xfId="1" applyNumberFormat="1" applyFont="1" applyAlignment="1">
      <alignment vertical="center" readingOrder="2"/>
    </xf>
    <xf numFmtId="43" fontId="0" fillId="0" borderId="0" xfId="1" applyFont="1" applyAlignment="1">
      <alignment horizontal="center" vertical="center" readingOrder="2"/>
    </xf>
    <xf numFmtId="16" fontId="0" fillId="0" borderId="0" xfId="0" applyNumberFormat="1" applyAlignment="1">
      <alignment horizontal="center" vertical="center" readingOrder="2"/>
    </xf>
    <xf numFmtId="164" fontId="0" fillId="0" borderId="0" xfId="1" applyNumberFormat="1" applyFont="1" applyAlignment="1">
      <alignment horizontal="center" vertical="center" readingOrder="2"/>
    </xf>
    <xf numFmtId="0" fontId="0" fillId="0" borderId="0" xfId="0" applyAlignment="1">
      <alignment horizontal="center" vertical="center" readingOrder="2"/>
    </xf>
    <xf numFmtId="2" fontId="0" fillId="0" borderId="0" xfId="0" applyNumberFormat="1" applyAlignment="1">
      <alignment horizontal="center" vertical="center" readingOrder="2"/>
    </xf>
    <xf numFmtId="43" fontId="0" fillId="0" borderId="0" xfId="1" applyFont="1" applyAlignment="1">
      <alignment horizontal="center" vertical="center" readingOrder="2"/>
    </xf>
    <xf numFmtId="43" fontId="0" fillId="0" borderId="0" xfId="1" applyFont="1" applyAlignment="1">
      <alignment horizontal="center" vertical="center" wrapText="1" readingOrder="2"/>
    </xf>
    <xf numFmtId="16" fontId="0" fillId="0" borderId="0" xfId="1" applyNumberFormat="1" applyFont="1" applyAlignment="1">
      <alignment horizontal="center" vertical="center" readingOrder="2"/>
    </xf>
    <xf numFmtId="171" fontId="0" fillId="0" borderId="0" xfId="1" applyNumberFormat="1" applyFont="1" applyAlignment="1">
      <alignment horizontal="center" vertical="center" readingOrder="2"/>
    </xf>
    <xf numFmtId="43" fontId="0" fillId="0" borderId="0" xfId="1" applyFont="1" applyAlignment="1">
      <alignment horizontal="center" vertical="center"/>
    </xf>
    <xf numFmtId="43" fontId="0" fillId="0" borderId="0" xfId="1" applyFont="1" applyAlignment="1">
      <alignment horizontal="center" vertical="center"/>
    </xf>
    <xf numFmtId="171" fontId="0" fillId="0" borderId="0" xfId="1" applyNumberFormat="1" applyFont="1" applyAlignment="1">
      <alignment horizontal="center" vertical="center"/>
    </xf>
    <xf numFmtId="44" fontId="0" fillId="0" borderId="0" xfId="2" applyFont="1" applyAlignment="1">
      <alignment horizontal="center" vertical="center" wrapText="1"/>
    </xf>
    <xf numFmtId="43" fontId="0" fillId="0" borderId="0" xfId="1" applyFont="1" applyAlignment="1">
      <alignment horizontal="center" vertical="top" readingOrder="2"/>
    </xf>
    <xf numFmtId="171" fontId="0" fillId="0" borderId="0" xfId="1" applyNumberFormat="1" applyFont="1" applyAlignment="1">
      <alignment horizontal="center" vertical="top" readingOrder="2"/>
    </xf>
    <xf numFmtId="43" fontId="0" fillId="2" borderId="1" xfId="1" applyFont="1" applyFill="1" applyBorder="1" applyAlignment="1">
      <alignment horizontal="center" vertical="center"/>
    </xf>
    <xf numFmtId="43" fontId="0" fillId="2" borderId="1" xfId="1" applyFont="1" applyFill="1" applyBorder="1" applyAlignment="1">
      <alignment horizontal="center" vertical="center" wrapText="1"/>
    </xf>
    <xf numFmtId="43" fontId="0" fillId="3" borderId="1" xfId="1" applyFont="1" applyFill="1" applyBorder="1" applyAlignment="1">
      <alignment horizontal="center" vertical="center"/>
    </xf>
    <xf numFmtId="43" fontId="0" fillId="3" borderId="1" xfId="1" applyFont="1" applyFill="1" applyBorder="1" applyAlignment="1">
      <alignment horizontal="center" vertical="center" wrapText="1"/>
    </xf>
    <xf numFmtId="43" fontId="0" fillId="0" borderId="1" xfId="1" applyFont="1" applyFill="1" applyBorder="1" applyAlignment="1">
      <alignment horizontal="center" vertical="center"/>
    </xf>
  </cellXfs>
  <cellStyles count="3">
    <cellStyle name="Comma" xfId="1" builtinId="3"/>
    <cellStyle name="Currency" xfId="2" builtinId="4"/>
    <cellStyle name="Normal" xfId="0" builtinId="0"/>
  </cellStyles>
  <dxfs count="1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ECB20-8BF7-48C8-9491-02CF7FF0D628}">
  <dimension ref="A1:L15"/>
  <sheetViews>
    <sheetView rightToLeft="1" tabSelected="1" zoomScale="178" zoomScaleNormal="178" workbookViewId="0">
      <pane ySplit="1" topLeftCell="A2" activePane="bottomLeft" state="frozen"/>
      <selection pane="bottomLeft" activeCell="D11" sqref="D11"/>
    </sheetView>
  </sheetViews>
  <sheetFormatPr defaultRowHeight="14.25" x14ac:dyDescent="0.2"/>
  <cols>
    <col min="1" max="1" width="7.75" style="1" bestFit="1" customWidth="1"/>
    <col min="2" max="2" width="17.5" style="1" bestFit="1" customWidth="1"/>
    <col min="3" max="3" width="13.375" style="6" customWidth="1"/>
    <col min="4" max="4" width="11.125" style="6" customWidth="1"/>
    <col min="5" max="5" width="13.375" style="6" customWidth="1"/>
    <col min="6" max="6" width="10.125" style="6" bestFit="1" customWidth="1"/>
    <col min="7" max="7" width="9" style="6"/>
    <col min="8" max="8" width="10.125" style="6" bestFit="1" customWidth="1"/>
    <col min="9" max="9" width="11.125" style="6" bestFit="1" customWidth="1"/>
    <col min="10" max="10" width="11" style="6" bestFit="1" customWidth="1"/>
    <col min="11" max="11" width="9" style="6"/>
    <col min="12" max="12" width="8.5" style="10" bestFit="1" customWidth="1"/>
    <col min="13" max="16384" width="9" style="1"/>
  </cols>
  <sheetData>
    <row r="1" spans="1:12" ht="28.5" x14ac:dyDescent="0.2">
      <c r="A1" s="9" t="s">
        <v>0</v>
      </c>
      <c r="B1" s="9" t="s">
        <v>1</v>
      </c>
      <c r="C1" s="11" t="s">
        <v>2</v>
      </c>
      <c r="D1" s="11"/>
      <c r="E1" s="6" t="s">
        <v>35</v>
      </c>
      <c r="F1" s="12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12" t="s">
        <v>41</v>
      </c>
      <c r="L1" s="10" t="s">
        <v>18</v>
      </c>
    </row>
    <row r="2" spans="1:12" x14ac:dyDescent="0.2">
      <c r="A2" s="9"/>
      <c r="B2" s="9"/>
      <c r="C2" s="6" t="s">
        <v>42</v>
      </c>
      <c r="D2" s="6" t="s">
        <v>12</v>
      </c>
      <c r="E2" s="6" t="s">
        <v>11</v>
      </c>
      <c r="F2" s="6" t="s">
        <v>11</v>
      </c>
      <c r="G2" s="6" t="s">
        <v>11</v>
      </c>
      <c r="H2" s="6" t="s">
        <v>12</v>
      </c>
      <c r="I2" s="6" t="s">
        <v>12</v>
      </c>
      <c r="J2" s="6" t="s">
        <v>12</v>
      </c>
      <c r="K2" s="6" t="s">
        <v>12</v>
      </c>
    </row>
    <row r="3" spans="1:12" x14ac:dyDescent="0.2">
      <c r="A3" s="2">
        <v>46300</v>
      </c>
      <c r="B3" s="1" t="s">
        <v>43</v>
      </c>
      <c r="C3" s="6">
        <f>SUM(E3+F3+G3)</f>
        <v>34718.75</v>
      </c>
      <c r="D3" s="6">
        <f>SUM(H3+I3+J3+K3)</f>
        <v>34718.75</v>
      </c>
      <c r="E3" s="6">
        <v>31562.5</v>
      </c>
      <c r="F3" s="6">
        <f>E3/10</f>
        <v>3156.25</v>
      </c>
      <c r="H3" s="6">
        <v>20000</v>
      </c>
      <c r="I3" s="6">
        <v>14718.75</v>
      </c>
      <c r="L3" s="10" t="b">
        <f>IF(C3=D3,TRUE,FALSE)</f>
        <v>1</v>
      </c>
    </row>
    <row r="4" spans="1:12" x14ac:dyDescent="0.2">
      <c r="A4" s="2">
        <v>46301</v>
      </c>
      <c r="B4" s="1" t="s">
        <v>44</v>
      </c>
      <c r="C4" s="6">
        <f t="shared" ref="C4:C15" si="0">SUM(E4+F4+G4)</f>
        <v>40975</v>
      </c>
      <c r="D4" s="6">
        <f t="shared" ref="D4:D15" si="1">SUM(H4+I4+J4+K4)</f>
        <v>40975</v>
      </c>
      <c r="E4" s="6">
        <v>37250</v>
      </c>
      <c r="F4" s="6">
        <f t="shared" ref="F4:F6" si="2">E4/10</f>
        <v>3725</v>
      </c>
      <c r="J4" s="6">
        <v>39336</v>
      </c>
      <c r="K4" s="6">
        <v>1639</v>
      </c>
      <c r="L4" s="10" t="b">
        <f t="shared" ref="L4:L16" si="3">IF(C4=D4,TRUE,FALSE)</f>
        <v>1</v>
      </c>
    </row>
    <row r="5" spans="1:12" x14ac:dyDescent="0.2">
      <c r="A5" s="2">
        <v>46310</v>
      </c>
      <c r="B5" s="1" t="s">
        <v>45</v>
      </c>
      <c r="C5" s="6">
        <f t="shared" si="0"/>
        <v>104500</v>
      </c>
      <c r="D5" s="6">
        <f t="shared" si="1"/>
        <v>104500</v>
      </c>
      <c r="E5" s="6">
        <v>95000</v>
      </c>
      <c r="F5" s="6">
        <f t="shared" si="2"/>
        <v>9500</v>
      </c>
      <c r="I5" s="6">
        <v>104500</v>
      </c>
      <c r="L5" s="10" t="b">
        <f t="shared" si="3"/>
        <v>1</v>
      </c>
    </row>
    <row r="6" spans="1:12" x14ac:dyDescent="0.2">
      <c r="A6" s="9" t="s">
        <v>46</v>
      </c>
      <c r="B6" s="9"/>
      <c r="C6" s="6">
        <f t="shared" si="0"/>
        <v>180193.75</v>
      </c>
      <c r="D6" s="6">
        <f t="shared" si="1"/>
        <v>180193.75</v>
      </c>
      <c r="E6" s="6">
        <f t="shared" ref="E6:J6" si="4">SUM(E3:E5)</f>
        <v>163812.5</v>
      </c>
      <c r="F6" s="6">
        <f t="shared" si="4"/>
        <v>16381.25</v>
      </c>
      <c r="G6" s="6">
        <f t="shared" si="4"/>
        <v>0</v>
      </c>
      <c r="H6" s="6">
        <f t="shared" si="4"/>
        <v>20000</v>
      </c>
      <c r="I6" s="6">
        <f t="shared" si="4"/>
        <v>119218.75</v>
      </c>
      <c r="J6" s="6">
        <f t="shared" si="4"/>
        <v>39336</v>
      </c>
      <c r="K6" s="6">
        <f>SUM(K3:K5)</f>
        <v>1639</v>
      </c>
      <c r="L6" s="10" t="b">
        <f t="shared" si="3"/>
        <v>1</v>
      </c>
    </row>
    <row r="7" spans="1:12" x14ac:dyDescent="0.2">
      <c r="A7" s="2">
        <v>46327</v>
      </c>
      <c r="B7" s="1" t="s">
        <v>72</v>
      </c>
      <c r="C7" s="6">
        <f t="shared" si="0"/>
        <v>96250</v>
      </c>
      <c r="D7" s="6">
        <f t="shared" si="1"/>
        <v>96250</v>
      </c>
      <c r="E7" s="6">
        <v>87500</v>
      </c>
      <c r="F7" s="6">
        <f>E7/10</f>
        <v>8750</v>
      </c>
      <c r="H7" s="6">
        <v>20000</v>
      </c>
      <c r="I7" s="6">
        <v>76250</v>
      </c>
      <c r="L7" s="10" t="b">
        <f t="shared" si="3"/>
        <v>1</v>
      </c>
    </row>
    <row r="8" spans="1:12" x14ac:dyDescent="0.2">
      <c r="A8" s="2">
        <v>46327</v>
      </c>
      <c r="B8" s="1" t="s">
        <v>73</v>
      </c>
      <c r="C8" s="6">
        <f t="shared" si="0"/>
        <v>38700</v>
      </c>
      <c r="D8" s="6">
        <f t="shared" si="1"/>
        <v>38700</v>
      </c>
      <c r="E8" s="6">
        <v>35000</v>
      </c>
      <c r="F8" s="6">
        <f t="shared" ref="F8:F15" si="5">E8/10</f>
        <v>3500</v>
      </c>
      <c r="G8" s="6">
        <v>200</v>
      </c>
      <c r="H8" s="6">
        <v>37160</v>
      </c>
      <c r="I8" s="6">
        <v>0</v>
      </c>
      <c r="J8" s="6">
        <v>0</v>
      </c>
      <c r="K8" s="6">
        <v>1540</v>
      </c>
      <c r="L8" s="10" t="b">
        <f t="shared" si="3"/>
        <v>1</v>
      </c>
    </row>
    <row r="9" spans="1:12" x14ac:dyDescent="0.2">
      <c r="A9" s="9" t="s">
        <v>47</v>
      </c>
      <c r="B9" s="9"/>
      <c r="C9" s="6">
        <f t="shared" si="0"/>
        <v>134950</v>
      </c>
      <c r="D9" s="6">
        <f t="shared" si="1"/>
        <v>134950</v>
      </c>
      <c r="E9" s="6">
        <f>SUM(E7:E8)</f>
        <v>122500</v>
      </c>
      <c r="F9" s="6">
        <f t="shared" ref="F9:K9" si="6">SUM(F7:F8)</f>
        <v>12250</v>
      </c>
      <c r="G9" s="6">
        <f t="shared" si="6"/>
        <v>200</v>
      </c>
      <c r="H9" s="6">
        <f t="shared" si="6"/>
        <v>57160</v>
      </c>
      <c r="I9" s="6">
        <f t="shared" si="6"/>
        <v>76250</v>
      </c>
      <c r="J9" s="6">
        <f t="shared" si="6"/>
        <v>0</v>
      </c>
      <c r="K9" s="6">
        <f t="shared" si="6"/>
        <v>1540</v>
      </c>
      <c r="L9" s="10" t="b">
        <f t="shared" si="3"/>
        <v>1</v>
      </c>
    </row>
    <row r="10" spans="1:12" x14ac:dyDescent="0.2">
      <c r="A10" s="2">
        <v>46360</v>
      </c>
      <c r="B10" s="1" t="s">
        <v>74</v>
      </c>
      <c r="C10" s="6">
        <f t="shared" si="0"/>
        <v>88000</v>
      </c>
      <c r="D10" s="6">
        <f t="shared" si="1"/>
        <v>88000</v>
      </c>
      <c r="E10" s="6">
        <v>80000</v>
      </c>
      <c r="F10" s="6">
        <f t="shared" si="5"/>
        <v>8000</v>
      </c>
      <c r="G10" s="6">
        <v>0</v>
      </c>
      <c r="H10" s="6">
        <v>10000</v>
      </c>
      <c r="I10" s="6">
        <v>73600</v>
      </c>
      <c r="J10" s="6">
        <v>0</v>
      </c>
      <c r="K10" s="6">
        <v>4400</v>
      </c>
      <c r="L10" s="10" t="b">
        <f t="shared" si="3"/>
        <v>1</v>
      </c>
    </row>
    <row r="11" spans="1:12" x14ac:dyDescent="0.2">
      <c r="A11" s="2">
        <v>46360</v>
      </c>
      <c r="B11" s="1" t="s">
        <v>75</v>
      </c>
      <c r="C11" s="6">
        <f t="shared" si="0"/>
        <v>121000</v>
      </c>
      <c r="D11" s="6">
        <f t="shared" si="1"/>
        <v>121000</v>
      </c>
      <c r="E11" s="6">
        <v>110000</v>
      </c>
      <c r="F11" s="6">
        <f t="shared" si="5"/>
        <v>11000</v>
      </c>
      <c r="G11" s="6">
        <v>0</v>
      </c>
      <c r="H11" s="6">
        <v>5000</v>
      </c>
      <c r="I11" s="6">
        <v>0</v>
      </c>
      <c r="J11" s="6">
        <v>113580</v>
      </c>
      <c r="K11" s="6">
        <v>2420</v>
      </c>
      <c r="L11" s="10" t="b">
        <f t="shared" si="3"/>
        <v>1</v>
      </c>
    </row>
    <row r="12" spans="1:12" x14ac:dyDescent="0.2">
      <c r="A12" s="2">
        <v>46360</v>
      </c>
      <c r="B12" s="1" t="s">
        <v>76</v>
      </c>
      <c r="C12" s="6">
        <f t="shared" si="0"/>
        <v>36300</v>
      </c>
      <c r="D12" s="6">
        <f t="shared" si="1"/>
        <v>36300</v>
      </c>
      <c r="E12" s="6">
        <v>33000</v>
      </c>
      <c r="F12" s="6">
        <f t="shared" si="5"/>
        <v>3300</v>
      </c>
      <c r="G12" s="6">
        <v>0</v>
      </c>
      <c r="H12" s="6">
        <v>0</v>
      </c>
      <c r="I12" s="6">
        <v>0</v>
      </c>
      <c r="J12" s="6">
        <v>36300</v>
      </c>
      <c r="K12" s="6">
        <v>0</v>
      </c>
      <c r="L12" s="10" t="b">
        <f t="shared" si="3"/>
        <v>1</v>
      </c>
    </row>
    <row r="13" spans="1:12" x14ac:dyDescent="0.2">
      <c r="A13" s="2">
        <v>46360</v>
      </c>
      <c r="B13" s="1" t="s">
        <v>77</v>
      </c>
      <c r="C13" s="6">
        <f t="shared" si="0"/>
        <v>30800</v>
      </c>
      <c r="D13" s="6">
        <f t="shared" si="1"/>
        <v>30800</v>
      </c>
      <c r="E13" s="6">
        <v>28000</v>
      </c>
      <c r="F13" s="6">
        <f t="shared" si="5"/>
        <v>2800</v>
      </c>
      <c r="G13" s="6">
        <v>0</v>
      </c>
      <c r="H13" s="6">
        <v>30800</v>
      </c>
      <c r="I13" s="6">
        <v>0</v>
      </c>
      <c r="J13" s="6">
        <v>0</v>
      </c>
      <c r="K13" s="6">
        <v>0</v>
      </c>
      <c r="L13" s="10" t="b">
        <f t="shared" si="3"/>
        <v>1</v>
      </c>
    </row>
    <row r="14" spans="1:12" x14ac:dyDescent="0.2">
      <c r="A14" s="2">
        <v>46360</v>
      </c>
      <c r="B14" s="1" t="s">
        <v>78</v>
      </c>
      <c r="C14" s="6">
        <f t="shared" si="0"/>
        <v>22316.25</v>
      </c>
      <c r="D14" s="6">
        <f t="shared" si="1"/>
        <v>22316.25</v>
      </c>
      <c r="E14" s="6">
        <v>20287.5</v>
      </c>
      <c r="F14" s="6">
        <f t="shared" si="5"/>
        <v>2028.75</v>
      </c>
      <c r="G14" s="6">
        <v>0</v>
      </c>
      <c r="H14" s="6">
        <v>20000</v>
      </c>
      <c r="I14" s="6">
        <v>2316.25</v>
      </c>
      <c r="J14" s="6">
        <v>0</v>
      </c>
      <c r="K14" s="6">
        <v>0</v>
      </c>
      <c r="L14" s="10" t="b">
        <f t="shared" si="3"/>
        <v>1</v>
      </c>
    </row>
    <row r="15" spans="1:12" x14ac:dyDescent="0.2">
      <c r="A15" s="9" t="s">
        <v>48</v>
      </c>
      <c r="B15" s="9"/>
      <c r="C15" s="6">
        <f t="shared" si="0"/>
        <v>298416.25</v>
      </c>
      <c r="D15" s="6">
        <f t="shared" si="1"/>
        <v>298416.25</v>
      </c>
      <c r="E15" s="6">
        <f>SUM(E10:E14)</f>
        <v>271287.5</v>
      </c>
      <c r="F15" s="6">
        <f t="shared" ref="F15:K15" si="7">SUM(F10:F14)</f>
        <v>27128.75</v>
      </c>
      <c r="G15" s="6">
        <f t="shared" si="7"/>
        <v>0</v>
      </c>
      <c r="H15" s="6">
        <f t="shared" si="7"/>
        <v>65800</v>
      </c>
      <c r="I15" s="6">
        <f t="shared" si="7"/>
        <v>75916.25</v>
      </c>
      <c r="J15" s="6">
        <f t="shared" si="7"/>
        <v>149880</v>
      </c>
      <c r="K15" s="6">
        <f t="shared" si="7"/>
        <v>6820</v>
      </c>
      <c r="L15" s="10" t="b">
        <f t="shared" si="3"/>
        <v>1</v>
      </c>
    </row>
  </sheetData>
  <mergeCells count="6">
    <mergeCell ref="A1:A2"/>
    <mergeCell ref="B1:B2"/>
    <mergeCell ref="C1:D1"/>
    <mergeCell ref="A6:B6"/>
    <mergeCell ref="A9:B9"/>
    <mergeCell ref="A15:B15"/>
  </mergeCells>
  <phoneticPr fontId="2" type="noConversion"/>
  <conditionalFormatting sqref="L1 L3:L15">
    <cfRule type="cellIs" dxfId="14" priority="1" operator="equal">
      <formula>FALSE</formula>
    </cfRule>
  </conditionalFormatting>
  <conditionalFormatting sqref="L1 L3:L15 L25:L1048576">
    <cfRule type="cellIs" dxfId="13" priority="2" operator="equal">
      <formula>"FALSE"</formula>
    </cfRule>
    <cfRule type="cellIs" dxfId="12" priority="3" operator="equal">
      <formula>TRUE</formula>
    </cfRule>
  </conditionalFormatting>
  <conditionalFormatting sqref="L3:L15 L1 L25:L1048576">
    <cfRule type="colorScale" priority="4">
      <colorScale>
        <cfvo type="min"/>
        <cfvo type="max"/>
        <color rgb="FFFF7128"/>
        <color rgb="FFFFEF9C"/>
      </colorScale>
    </cfRule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rightToLeft="1" topLeftCell="E1" zoomScale="170" zoomScaleNormal="170" workbookViewId="0">
      <pane ySplit="1" topLeftCell="A14" activePane="bottomLeft" state="frozen"/>
      <selection pane="bottomLeft" activeCell="K1" sqref="K1:K1048576"/>
    </sheetView>
  </sheetViews>
  <sheetFormatPr defaultRowHeight="14.25" x14ac:dyDescent="0.2"/>
  <cols>
    <col min="1" max="1" width="7.75" style="2" bestFit="1" customWidth="1"/>
    <col min="2" max="2" width="10.25" style="1" bestFit="1" customWidth="1"/>
    <col min="3" max="4" width="11.25" style="3" bestFit="1" customWidth="1"/>
    <col min="5" max="6" width="10.25" style="3" bestFit="1" customWidth="1"/>
    <col min="7" max="7" width="9.25" style="3" bestFit="1" customWidth="1"/>
    <col min="8" max="8" width="8.25" style="3" bestFit="1" customWidth="1"/>
    <col min="9" max="9" width="10.25" style="3" bestFit="1" customWidth="1"/>
    <col min="10" max="10" width="9.25" style="3" bestFit="1" customWidth="1"/>
    <col min="11" max="11" width="11.125" style="3" customWidth="1"/>
    <col min="12" max="12" width="10.25" style="3" customWidth="1"/>
    <col min="13" max="13" width="8.5" style="1" bestFit="1" customWidth="1"/>
    <col min="14" max="16384" width="9" style="1"/>
  </cols>
  <sheetData>
    <row r="1" spans="1:13" ht="42.75" x14ac:dyDescent="0.2">
      <c r="A1" s="7" t="s">
        <v>0</v>
      </c>
      <c r="B1" s="9" t="s">
        <v>1</v>
      </c>
      <c r="C1" s="8" t="s">
        <v>2</v>
      </c>
      <c r="D1" s="8"/>
      <c r="E1" s="3" t="s">
        <v>3</v>
      </c>
      <c r="F1" s="3" t="s">
        <v>4</v>
      </c>
      <c r="G1" s="4" t="s">
        <v>5</v>
      </c>
      <c r="H1" s="4" t="s">
        <v>8</v>
      </c>
      <c r="I1" s="3" t="s">
        <v>6</v>
      </c>
      <c r="J1" s="4" t="s">
        <v>9</v>
      </c>
      <c r="K1" s="3" t="s">
        <v>7</v>
      </c>
      <c r="L1" s="4" t="s">
        <v>10</v>
      </c>
      <c r="M1" s="1" t="s">
        <v>18</v>
      </c>
    </row>
    <row r="2" spans="1:13" x14ac:dyDescent="0.2">
      <c r="A2" s="7"/>
      <c r="B2" s="9"/>
      <c r="C2" s="5" t="s">
        <v>11</v>
      </c>
      <c r="D2" s="5" t="s">
        <v>12</v>
      </c>
      <c r="E2" s="3" t="s">
        <v>11</v>
      </c>
      <c r="F2" s="3" t="s">
        <v>11</v>
      </c>
      <c r="G2" s="3" t="s">
        <v>11</v>
      </c>
      <c r="H2" s="3" t="s">
        <v>11</v>
      </c>
      <c r="I2" s="3" t="s">
        <v>12</v>
      </c>
      <c r="J2" s="3" t="s">
        <v>12</v>
      </c>
      <c r="K2" s="3" t="s">
        <v>12</v>
      </c>
      <c r="L2" s="3" t="s">
        <v>11</v>
      </c>
    </row>
    <row r="3" spans="1:13" x14ac:dyDescent="0.2">
      <c r="A3" s="2">
        <v>37897</v>
      </c>
      <c r="B3" s="1" t="s">
        <v>13</v>
      </c>
      <c r="C3" s="3">
        <f>E3+F3+G3+H3+L3</f>
        <v>24920</v>
      </c>
      <c r="D3" s="3">
        <f>I3+J3+K3</f>
        <v>24920</v>
      </c>
      <c r="E3" s="3">
        <v>10000</v>
      </c>
      <c r="F3" s="3">
        <v>13699</v>
      </c>
      <c r="H3" s="3">
        <v>1221</v>
      </c>
      <c r="I3" s="3">
        <v>22200</v>
      </c>
      <c r="J3" s="3">
        <v>2220</v>
      </c>
      <c r="K3" s="3">
        <v>500</v>
      </c>
      <c r="M3" s="1" t="b">
        <f>IF(D3=C3,TRUE,FALSE)</f>
        <v>1</v>
      </c>
    </row>
    <row r="4" spans="1:13" x14ac:dyDescent="0.2">
      <c r="A4" s="2">
        <v>37918</v>
      </c>
      <c r="B4" s="1" t="s">
        <v>15</v>
      </c>
      <c r="C4" s="3">
        <f t="shared" ref="C4:C6" si="0">E4+F4+G4+H4+L4</f>
        <v>75840</v>
      </c>
      <c r="D4" s="3">
        <f t="shared" ref="D4:D6" si="1">I4+J4+K4</f>
        <v>75840</v>
      </c>
      <c r="E4" s="3">
        <v>0</v>
      </c>
      <c r="F4" s="3">
        <v>75840</v>
      </c>
      <c r="I4" s="3">
        <v>68400</v>
      </c>
      <c r="J4" s="3">
        <v>6840</v>
      </c>
      <c r="K4" s="3">
        <v>600</v>
      </c>
      <c r="M4" s="1" t="b">
        <f t="shared" ref="M4:M23" si="2">IF(D4=C4,TRUE,FALSE)</f>
        <v>1</v>
      </c>
    </row>
    <row r="5" spans="1:13" x14ac:dyDescent="0.2">
      <c r="A5" s="2">
        <v>37919</v>
      </c>
      <c r="B5" s="1" t="s">
        <v>16</v>
      </c>
      <c r="C5" s="3">
        <f t="shared" si="0"/>
        <v>25080</v>
      </c>
      <c r="D5" s="3">
        <f t="shared" si="1"/>
        <v>25080</v>
      </c>
      <c r="E5" s="3">
        <v>1000</v>
      </c>
      <c r="F5" s="3">
        <v>22826</v>
      </c>
      <c r="H5" s="3">
        <v>1254</v>
      </c>
      <c r="I5" s="3">
        <v>22800</v>
      </c>
      <c r="J5" s="3">
        <v>2280</v>
      </c>
      <c r="M5" s="1" t="b">
        <f t="shared" si="2"/>
        <v>1</v>
      </c>
    </row>
    <row r="6" spans="1:13" x14ac:dyDescent="0.2">
      <c r="A6" s="2">
        <v>37922</v>
      </c>
      <c r="B6" s="1" t="s">
        <v>17</v>
      </c>
      <c r="C6" s="3">
        <f t="shared" si="0"/>
        <v>103020</v>
      </c>
      <c r="D6" s="3">
        <f t="shared" si="1"/>
        <v>103020</v>
      </c>
      <c r="E6" s="3">
        <v>97869</v>
      </c>
      <c r="H6" s="3">
        <v>5151</v>
      </c>
      <c r="I6" s="3">
        <v>93654.5</v>
      </c>
      <c r="J6" s="3">
        <v>9365.5</v>
      </c>
      <c r="M6" s="1" t="b">
        <f t="shared" si="2"/>
        <v>1</v>
      </c>
    </row>
    <row r="7" spans="1:13" x14ac:dyDescent="0.2">
      <c r="A7" s="7" t="s">
        <v>14</v>
      </c>
      <c r="B7" s="7"/>
      <c r="C7" s="3">
        <f t="shared" ref="C7:D7" si="3">SUM(C3:C6)</f>
        <v>228860</v>
      </c>
      <c r="D7" s="3">
        <f t="shared" si="3"/>
        <v>228860</v>
      </c>
      <c r="E7" s="3">
        <f>SUM(E3:E6)</f>
        <v>108869</v>
      </c>
      <c r="F7" s="3">
        <f t="shared" ref="F7" si="4">SUM(F3:F6)</f>
        <v>112365</v>
      </c>
      <c r="G7" s="3">
        <f t="shared" ref="G7:H7" si="5">SUM(G3:G6)</f>
        <v>0</v>
      </c>
      <c r="H7" s="3">
        <f t="shared" si="5"/>
        <v>7626</v>
      </c>
      <c r="I7" s="3">
        <f t="shared" ref="I7" si="6">SUM(I3:I6)</f>
        <v>207054.5</v>
      </c>
      <c r="J7" s="3">
        <f t="shared" ref="J7:K7" si="7">SUM(J3:J6)</f>
        <v>20705.5</v>
      </c>
      <c r="K7" s="3">
        <f t="shared" si="7"/>
        <v>1100</v>
      </c>
      <c r="L7" s="3">
        <f t="shared" ref="L7" si="8">SUM(L3:L6)</f>
        <v>0</v>
      </c>
      <c r="M7" s="1" t="b">
        <f t="shared" si="2"/>
        <v>1</v>
      </c>
    </row>
    <row r="8" spans="1:13" x14ac:dyDescent="0.2">
      <c r="A8" s="2">
        <v>46328</v>
      </c>
      <c r="B8" s="1" t="s">
        <v>21</v>
      </c>
      <c r="C8" s="3">
        <f>E8+F8+G8+H8+L8</f>
        <v>5940</v>
      </c>
      <c r="D8" s="3">
        <f>I8+J8+K8</f>
        <v>5940</v>
      </c>
      <c r="E8" s="3">
        <v>5643</v>
      </c>
      <c r="H8" s="3">
        <v>297</v>
      </c>
      <c r="I8" s="3">
        <v>5400</v>
      </c>
      <c r="J8" s="3">
        <f>I8/10</f>
        <v>540</v>
      </c>
      <c r="M8" s="1" t="b">
        <f t="shared" si="2"/>
        <v>1</v>
      </c>
    </row>
    <row r="9" spans="1:13" x14ac:dyDescent="0.2">
      <c r="A9" s="2">
        <v>46328</v>
      </c>
      <c r="B9" s="1" t="s">
        <v>22</v>
      </c>
      <c r="C9" s="3">
        <f t="shared" ref="C9:C14" si="9">E9+F9+G9+H9+L9</f>
        <v>5940</v>
      </c>
      <c r="D9" s="3">
        <f t="shared" ref="D9:D14" si="10">I9+J9+K9</f>
        <v>5940</v>
      </c>
      <c r="E9" s="3">
        <v>0</v>
      </c>
      <c r="F9" s="3">
        <v>5643</v>
      </c>
      <c r="H9" s="3">
        <v>297</v>
      </c>
      <c r="I9" s="3">
        <v>5400</v>
      </c>
      <c r="J9" s="3">
        <f t="shared" ref="J9:J14" si="11">I9/10</f>
        <v>540</v>
      </c>
      <c r="M9" s="1" t="b">
        <f t="shared" si="2"/>
        <v>1</v>
      </c>
    </row>
    <row r="10" spans="1:13" x14ac:dyDescent="0.2">
      <c r="A10" s="2">
        <v>46328</v>
      </c>
      <c r="B10" s="1" t="s">
        <v>23</v>
      </c>
      <c r="C10" s="3">
        <f t="shared" si="9"/>
        <v>19010</v>
      </c>
      <c r="D10" s="3">
        <f t="shared" si="10"/>
        <v>19010</v>
      </c>
      <c r="E10" s="3">
        <v>0</v>
      </c>
      <c r="F10" s="3">
        <v>0</v>
      </c>
      <c r="G10" s="3">
        <v>19010</v>
      </c>
      <c r="H10" s="3">
        <v>0</v>
      </c>
      <c r="I10" s="3">
        <v>17100</v>
      </c>
      <c r="J10" s="3">
        <f t="shared" si="11"/>
        <v>1710</v>
      </c>
      <c r="K10" s="3">
        <v>200</v>
      </c>
      <c r="M10" s="1" t="b">
        <f t="shared" si="2"/>
        <v>1</v>
      </c>
    </row>
    <row r="11" spans="1:13" x14ac:dyDescent="0.2">
      <c r="A11" s="2">
        <v>46328</v>
      </c>
      <c r="B11" s="1" t="s">
        <v>24</v>
      </c>
      <c r="C11" s="3">
        <f t="shared" si="9"/>
        <v>18810</v>
      </c>
      <c r="D11" s="3">
        <f t="shared" si="10"/>
        <v>18810</v>
      </c>
      <c r="E11" s="3">
        <v>0</v>
      </c>
      <c r="F11" s="3">
        <v>0</v>
      </c>
      <c r="G11" s="3">
        <v>18810</v>
      </c>
      <c r="H11" s="3">
        <v>0</v>
      </c>
      <c r="I11" s="3">
        <v>17100</v>
      </c>
      <c r="J11" s="3">
        <f t="shared" si="11"/>
        <v>1710</v>
      </c>
      <c r="M11" s="1" t="b">
        <f t="shared" si="2"/>
        <v>1</v>
      </c>
    </row>
    <row r="12" spans="1:13" x14ac:dyDescent="0.2">
      <c r="A12" s="2">
        <v>46328</v>
      </c>
      <c r="B12" s="1" t="s">
        <v>25</v>
      </c>
      <c r="C12" s="3">
        <f t="shared" si="9"/>
        <v>18810</v>
      </c>
      <c r="D12" s="3">
        <f t="shared" si="10"/>
        <v>18810</v>
      </c>
      <c r="E12" s="3">
        <v>0</v>
      </c>
      <c r="F12" s="3">
        <v>18810</v>
      </c>
      <c r="G12" s="3">
        <v>0</v>
      </c>
      <c r="H12" s="3">
        <v>0</v>
      </c>
      <c r="I12" s="3">
        <v>17100</v>
      </c>
      <c r="J12" s="3">
        <f t="shared" si="11"/>
        <v>1710</v>
      </c>
      <c r="M12" s="1" t="b">
        <f t="shared" si="2"/>
        <v>1</v>
      </c>
    </row>
    <row r="13" spans="1:13" x14ac:dyDescent="0.2">
      <c r="A13" s="2">
        <v>46328</v>
      </c>
      <c r="B13" s="1" t="s">
        <v>26</v>
      </c>
      <c r="C13" s="3">
        <f t="shared" si="9"/>
        <v>14770</v>
      </c>
      <c r="D13" s="3">
        <f t="shared" si="10"/>
        <v>14770</v>
      </c>
      <c r="E13" s="3">
        <v>0</v>
      </c>
      <c r="F13" s="3">
        <v>14044</v>
      </c>
      <c r="H13" s="3">
        <v>726</v>
      </c>
      <c r="I13" s="3">
        <v>13200</v>
      </c>
      <c r="J13" s="3">
        <f t="shared" si="11"/>
        <v>1320</v>
      </c>
      <c r="K13" s="3">
        <v>250</v>
      </c>
      <c r="M13" s="1" t="b">
        <f t="shared" si="2"/>
        <v>1</v>
      </c>
    </row>
    <row r="14" spans="1:13" x14ac:dyDescent="0.2">
      <c r="A14" s="2">
        <v>46328</v>
      </c>
      <c r="B14" s="1" t="s">
        <v>27</v>
      </c>
      <c r="C14" s="3">
        <f t="shared" si="9"/>
        <v>15840</v>
      </c>
      <c r="D14" s="3">
        <f t="shared" si="10"/>
        <v>15840</v>
      </c>
      <c r="E14" s="3">
        <v>0</v>
      </c>
      <c r="F14" s="3">
        <v>15840</v>
      </c>
      <c r="G14" s="3">
        <v>0</v>
      </c>
      <c r="H14" s="3">
        <v>0</v>
      </c>
      <c r="I14" s="3">
        <v>14400</v>
      </c>
      <c r="J14" s="3">
        <f t="shared" si="11"/>
        <v>1440</v>
      </c>
      <c r="K14" s="3">
        <v>0</v>
      </c>
      <c r="M14" s="1" t="b">
        <f t="shared" si="2"/>
        <v>1</v>
      </c>
    </row>
    <row r="15" spans="1:13" x14ac:dyDescent="0.2">
      <c r="A15" s="7" t="s">
        <v>19</v>
      </c>
      <c r="B15" s="7"/>
      <c r="C15" s="3">
        <f>SUM(C8:C14)</f>
        <v>99120</v>
      </c>
      <c r="D15" s="3">
        <f>SUM(D8:D14)</f>
        <v>99120</v>
      </c>
      <c r="E15" s="3">
        <f t="shared" ref="E15:L15" si="12">SUM(E8:E14)</f>
        <v>5643</v>
      </c>
      <c r="F15" s="3">
        <f t="shared" si="12"/>
        <v>54337</v>
      </c>
      <c r="G15" s="3">
        <f t="shared" si="12"/>
        <v>37820</v>
      </c>
      <c r="H15" s="3">
        <f t="shared" si="12"/>
        <v>1320</v>
      </c>
      <c r="I15" s="3">
        <f t="shared" si="12"/>
        <v>89700</v>
      </c>
      <c r="J15" s="3">
        <f t="shared" si="12"/>
        <v>8970</v>
      </c>
      <c r="K15" s="3">
        <f t="shared" si="12"/>
        <v>450</v>
      </c>
      <c r="L15" s="3">
        <f t="shared" si="12"/>
        <v>0</v>
      </c>
      <c r="M15" s="1" t="b">
        <f t="shared" si="2"/>
        <v>1</v>
      </c>
    </row>
    <row r="16" spans="1:13" x14ac:dyDescent="0.2">
      <c r="A16" s="2">
        <v>44902</v>
      </c>
      <c r="B16" s="1" t="s">
        <v>28</v>
      </c>
      <c r="C16" s="3">
        <f>E16+F16+G16+H16+L16</f>
        <v>7722</v>
      </c>
      <c r="D16" s="3">
        <f>I16+J16+K16</f>
        <v>7722</v>
      </c>
      <c r="E16" s="3">
        <v>0</v>
      </c>
      <c r="F16" s="3">
        <v>7335.9</v>
      </c>
      <c r="G16" s="3">
        <v>0</v>
      </c>
      <c r="H16" s="3">
        <v>386.1</v>
      </c>
      <c r="I16" s="3">
        <v>7020</v>
      </c>
      <c r="J16" s="3">
        <f>I16/10</f>
        <v>702</v>
      </c>
      <c r="K16" s="3">
        <v>0</v>
      </c>
      <c r="M16" s="1" t="b">
        <f t="shared" si="2"/>
        <v>1</v>
      </c>
    </row>
    <row r="17" spans="1:13" x14ac:dyDescent="0.2">
      <c r="A17" s="2">
        <v>44902</v>
      </c>
      <c r="B17" s="1" t="s">
        <v>29</v>
      </c>
      <c r="C17" s="3">
        <f t="shared" ref="C17:C22" si="13">E17+F17+G17+H17+L17</f>
        <v>21120</v>
      </c>
      <c r="D17" s="3">
        <f t="shared" ref="D17:D22" si="14">I17+J17+K17</f>
        <v>21120</v>
      </c>
      <c r="E17" s="3">
        <v>0</v>
      </c>
      <c r="F17" s="3">
        <v>21120</v>
      </c>
      <c r="G17" s="3">
        <v>0</v>
      </c>
      <c r="H17" s="3">
        <v>0</v>
      </c>
      <c r="I17" s="3">
        <v>19200</v>
      </c>
      <c r="J17" s="3">
        <f t="shared" ref="J17:J22" si="15">I17/10</f>
        <v>1920</v>
      </c>
      <c r="K17" s="3">
        <v>0</v>
      </c>
      <c r="M17" s="1" t="b">
        <f t="shared" si="2"/>
        <v>1</v>
      </c>
    </row>
    <row r="18" spans="1:13" x14ac:dyDescent="0.2">
      <c r="A18" s="2">
        <v>44902</v>
      </c>
      <c r="B18" s="1" t="s">
        <v>30</v>
      </c>
      <c r="C18" s="3">
        <f t="shared" si="13"/>
        <v>21780</v>
      </c>
      <c r="D18" s="3">
        <f t="shared" si="14"/>
        <v>21780</v>
      </c>
      <c r="E18" s="3">
        <v>21780</v>
      </c>
      <c r="F18" s="3">
        <v>0</v>
      </c>
      <c r="G18" s="3">
        <v>0</v>
      </c>
      <c r="H18" s="3">
        <v>0</v>
      </c>
      <c r="I18" s="3">
        <v>19800</v>
      </c>
      <c r="J18" s="3">
        <f t="shared" si="15"/>
        <v>1980</v>
      </c>
      <c r="M18" s="1" t="b">
        <f t="shared" si="2"/>
        <v>1</v>
      </c>
    </row>
    <row r="19" spans="1:13" x14ac:dyDescent="0.2">
      <c r="A19" s="2">
        <v>44902</v>
      </c>
      <c r="B19" s="1" t="s">
        <v>31</v>
      </c>
      <c r="C19" s="3">
        <f t="shared" si="13"/>
        <v>105600</v>
      </c>
      <c r="D19" s="3">
        <f t="shared" si="14"/>
        <v>105600</v>
      </c>
      <c r="E19" s="3">
        <v>0</v>
      </c>
      <c r="F19" s="3">
        <v>105600</v>
      </c>
      <c r="G19" s="3">
        <v>0</v>
      </c>
      <c r="H19" s="3">
        <v>0</v>
      </c>
      <c r="I19" s="3">
        <v>96000</v>
      </c>
      <c r="J19" s="3">
        <f t="shared" si="15"/>
        <v>9600</v>
      </c>
      <c r="M19" s="1" t="b">
        <f t="shared" si="2"/>
        <v>1</v>
      </c>
    </row>
    <row r="20" spans="1:13" x14ac:dyDescent="0.2">
      <c r="A20" s="2">
        <v>44902</v>
      </c>
      <c r="B20" s="1" t="s">
        <v>32</v>
      </c>
      <c r="C20" s="3">
        <f t="shared" si="13"/>
        <v>21780</v>
      </c>
      <c r="D20" s="3">
        <f t="shared" si="14"/>
        <v>21780</v>
      </c>
      <c r="E20" s="3">
        <f>20691-5000</f>
        <v>15691</v>
      </c>
      <c r="F20" s="3">
        <v>0</v>
      </c>
      <c r="G20" s="3">
        <v>0</v>
      </c>
      <c r="H20" s="3">
        <v>1089</v>
      </c>
      <c r="I20" s="3">
        <v>19800</v>
      </c>
      <c r="J20" s="3">
        <f t="shared" si="15"/>
        <v>1980</v>
      </c>
      <c r="K20" s="3">
        <v>0</v>
      </c>
      <c r="L20" s="3">
        <v>5000</v>
      </c>
      <c r="M20" s="1" t="b">
        <f t="shared" si="2"/>
        <v>1</v>
      </c>
    </row>
    <row r="21" spans="1:13" x14ac:dyDescent="0.2">
      <c r="A21" s="2">
        <v>44902</v>
      </c>
      <c r="B21" s="1" t="s">
        <v>33</v>
      </c>
      <c r="C21" s="3">
        <f t="shared" si="13"/>
        <v>37620</v>
      </c>
      <c r="D21" s="3">
        <f t="shared" si="14"/>
        <v>37620</v>
      </c>
      <c r="E21" s="3">
        <v>0</v>
      </c>
      <c r="F21" s="3">
        <v>0</v>
      </c>
      <c r="G21" s="3">
        <v>37620</v>
      </c>
      <c r="H21" s="3">
        <v>0</v>
      </c>
      <c r="I21" s="3">
        <v>34200</v>
      </c>
      <c r="J21" s="3">
        <f t="shared" si="15"/>
        <v>3420</v>
      </c>
      <c r="K21" s="3">
        <v>0</v>
      </c>
      <c r="L21" s="3">
        <v>0</v>
      </c>
      <c r="M21" s="1" t="b">
        <f t="shared" si="2"/>
        <v>1</v>
      </c>
    </row>
    <row r="22" spans="1:13" x14ac:dyDescent="0.2">
      <c r="A22" s="2">
        <v>44902</v>
      </c>
      <c r="B22" s="1" t="s">
        <v>34</v>
      </c>
      <c r="C22" s="6">
        <f t="shared" si="13"/>
        <v>18300</v>
      </c>
      <c r="D22" s="6">
        <f t="shared" si="14"/>
        <v>18300.04</v>
      </c>
      <c r="E22" s="3">
        <v>17385</v>
      </c>
      <c r="F22" s="3">
        <v>0</v>
      </c>
      <c r="G22" s="3">
        <v>0</v>
      </c>
      <c r="H22" s="3">
        <v>915</v>
      </c>
      <c r="I22" s="3">
        <v>16636.400000000001</v>
      </c>
      <c r="J22" s="6">
        <f t="shared" si="15"/>
        <v>1663.64</v>
      </c>
      <c r="K22" s="3">
        <v>0</v>
      </c>
      <c r="M22" s="1" t="b">
        <f t="shared" si="2"/>
        <v>0</v>
      </c>
    </row>
    <row r="23" spans="1:13" x14ac:dyDescent="0.2">
      <c r="A23" s="7" t="s">
        <v>20</v>
      </c>
      <c r="B23" s="7"/>
      <c r="C23" s="6">
        <f>SUM(C16:C22)</f>
        <v>233922</v>
      </c>
      <c r="D23" s="6">
        <f t="shared" ref="D23:L23" si="16">SUM(D16:D22)</f>
        <v>233922.04</v>
      </c>
      <c r="E23" s="3">
        <f t="shared" si="16"/>
        <v>54856</v>
      </c>
      <c r="F23" s="3">
        <f t="shared" si="16"/>
        <v>134055.9</v>
      </c>
      <c r="G23" s="3">
        <f t="shared" si="16"/>
        <v>37620</v>
      </c>
      <c r="H23" s="3">
        <f t="shared" si="16"/>
        <v>2390.1</v>
      </c>
      <c r="I23" s="3">
        <f t="shared" si="16"/>
        <v>212656.4</v>
      </c>
      <c r="J23" s="3">
        <f t="shared" si="16"/>
        <v>21265.64</v>
      </c>
      <c r="K23" s="3">
        <f t="shared" si="16"/>
        <v>0</v>
      </c>
      <c r="L23" s="3">
        <f t="shared" si="16"/>
        <v>5000</v>
      </c>
      <c r="M23" s="1" t="b">
        <f t="shared" si="2"/>
        <v>0</v>
      </c>
    </row>
  </sheetData>
  <mergeCells count="6">
    <mergeCell ref="A7:B7"/>
    <mergeCell ref="A15:B15"/>
    <mergeCell ref="A23:B23"/>
    <mergeCell ref="C1:D1"/>
    <mergeCell ref="A1:A2"/>
    <mergeCell ref="B1:B2"/>
  </mergeCells>
  <phoneticPr fontId="2" type="noConversion"/>
  <conditionalFormatting sqref="M1 M3:M23">
    <cfRule type="cellIs" dxfId="11" priority="1" operator="equal">
      <formula>FALSE</formula>
    </cfRule>
  </conditionalFormatting>
  <conditionalFormatting sqref="M1 M3:M1048576">
    <cfRule type="cellIs" dxfId="10" priority="2" operator="equal">
      <formula>"FALSE"</formula>
    </cfRule>
    <cfRule type="cellIs" dxfId="9" priority="3" operator="equal">
      <formula>TRUE</formula>
    </cfRule>
  </conditionalFormatting>
  <conditionalFormatting sqref="M3:M1048576 M1">
    <cfRule type="colorScale" priority="4">
      <colorScale>
        <cfvo type="min"/>
        <cfvo type="max"/>
        <color rgb="FFFF7128"/>
        <color rgb="FFFFEF9C"/>
      </colorScale>
    </cfRule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verticalDpi="0" r:id="rId1"/>
  <ignoredErrors>
    <ignoredError sqref="C15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44B6A-9B5A-4B78-B0BB-79946E6E32EA}">
  <dimension ref="A1:L15"/>
  <sheetViews>
    <sheetView rightToLeft="1" topLeftCell="D1" zoomScale="170" zoomScaleNormal="170" workbookViewId="0">
      <pane ySplit="1" topLeftCell="A2" activePane="bottomLeft" state="frozen"/>
      <selection activeCell="B1" sqref="B1"/>
      <selection pane="bottomLeft" activeCell="H16" sqref="H16"/>
    </sheetView>
  </sheetViews>
  <sheetFormatPr defaultRowHeight="14.25" x14ac:dyDescent="0.2"/>
  <cols>
    <col min="1" max="1" width="9" style="6"/>
    <col min="2" max="2" width="7" style="14" bestFit="1" customWidth="1"/>
    <col min="3" max="3" width="18.375" style="6" customWidth="1"/>
    <col min="4" max="5" width="11.25" style="6" bestFit="1" customWidth="1"/>
    <col min="6" max="6" width="10.25" style="6" bestFit="1" customWidth="1"/>
    <col min="7" max="7" width="11.25" style="6" bestFit="1" customWidth="1"/>
    <col min="8" max="9" width="10.25" style="6" bestFit="1" customWidth="1"/>
    <col min="10" max="11" width="11.25" style="6" bestFit="1" customWidth="1"/>
    <col min="12" max="12" width="8.5" style="10" bestFit="1" customWidth="1"/>
    <col min="13" max="16384" width="9" style="6"/>
  </cols>
  <sheetData>
    <row r="1" spans="1:12" x14ac:dyDescent="0.2">
      <c r="A1" s="11" t="s">
        <v>0</v>
      </c>
      <c r="B1" s="20" t="s">
        <v>49</v>
      </c>
      <c r="C1" s="19" t="s">
        <v>1</v>
      </c>
      <c r="D1" s="11" t="s">
        <v>2</v>
      </c>
      <c r="E1" s="11"/>
      <c r="F1" s="6" t="s">
        <v>50</v>
      </c>
      <c r="G1" s="6" t="s">
        <v>51</v>
      </c>
      <c r="H1" s="6" t="s">
        <v>52</v>
      </c>
      <c r="I1" s="6" t="s">
        <v>53</v>
      </c>
      <c r="J1" s="11" t="s">
        <v>54</v>
      </c>
      <c r="K1" s="11"/>
      <c r="L1" s="10" t="s">
        <v>18</v>
      </c>
    </row>
    <row r="2" spans="1:12" x14ac:dyDescent="0.2">
      <c r="A2" s="11"/>
      <c r="B2" s="20"/>
      <c r="C2" s="19"/>
      <c r="D2" s="6" t="s">
        <v>11</v>
      </c>
      <c r="E2" s="6" t="s">
        <v>12</v>
      </c>
      <c r="F2" s="6" t="s">
        <v>11</v>
      </c>
      <c r="G2" s="6" t="s">
        <v>11</v>
      </c>
      <c r="H2" s="6" t="s">
        <v>12</v>
      </c>
      <c r="I2" s="6" t="s">
        <v>12</v>
      </c>
      <c r="J2" s="6" t="s">
        <v>11</v>
      </c>
      <c r="K2" s="6" t="s">
        <v>12</v>
      </c>
    </row>
    <row r="3" spans="1:12" x14ac:dyDescent="0.2">
      <c r="A3" s="13">
        <v>46358</v>
      </c>
      <c r="B3" s="14">
        <f>53</f>
        <v>53</v>
      </c>
      <c r="C3" s="6" t="s">
        <v>56</v>
      </c>
      <c r="D3" s="6">
        <f>F3+G3+J3</f>
        <v>14718.75</v>
      </c>
      <c r="E3" s="6">
        <f>H3+I3+K3</f>
        <v>14718.75</v>
      </c>
      <c r="G3" s="6">
        <v>14718.75</v>
      </c>
      <c r="K3" s="6">
        <v>14718.75</v>
      </c>
      <c r="L3" s="10" t="b">
        <f>IF(E3=D3,TRUE,FALSE)</f>
        <v>1</v>
      </c>
    </row>
    <row r="4" spans="1:12" x14ac:dyDescent="0.2">
      <c r="A4" s="13">
        <v>46359</v>
      </c>
      <c r="B4" s="14">
        <f>53</f>
        <v>53</v>
      </c>
      <c r="C4" s="6" t="s">
        <v>57</v>
      </c>
      <c r="D4" s="6">
        <f t="shared" ref="D4:D15" si="0">F4+G4+J4</f>
        <v>27456</v>
      </c>
      <c r="E4" s="6">
        <f t="shared" ref="E4:E15" si="1">H4+I4+K4</f>
        <v>27456</v>
      </c>
      <c r="F4" s="6">
        <v>27456</v>
      </c>
      <c r="K4" s="6">
        <v>27456</v>
      </c>
      <c r="L4" s="10" t="b">
        <f t="shared" ref="L4:L15" si="2">IF(E4=D4,TRUE,FALSE)</f>
        <v>1</v>
      </c>
    </row>
    <row r="5" spans="1:12" x14ac:dyDescent="0.2">
      <c r="A5" s="13">
        <v>46359</v>
      </c>
      <c r="B5" s="14">
        <f>53</f>
        <v>53</v>
      </c>
      <c r="C5" s="6" t="s">
        <v>79</v>
      </c>
      <c r="D5" s="6">
        <f t="shared" si="0"/>
        <v>5643</v>
      </c>
      <c r="E5" s="6">
        <f t="shared" si="1"/>
        <v>5643</v>
      </c>
      <c r="I5" s="6">
        <v>5643</v>
      </c>
      <c r="J5" s="6">
        <v>5643</v>
      </c>
      <c r="L5" s="10" t="b">
        <f t="shared" si="2"/>
        <v>1</v>
      </c>
    </row>
    <row r="6" spans="1:12" x14ac:dyDescent="0.2">
      <c r="A6" s="13">
        <v>46361</v>
      </c>
      <c r="B6" s="14">
        <f>53</f>
        <v>53</v>
      </c>
      <c r="C6" s="6" t="s">
        <v>80</v>
      </c>
      <c r="D6" s="6">
        <f t="shared" si="0"/>
        <v>22826</v>
      </c>
      <c r="E6" s="6">
        <f t="shared" si="1"/>
        <v>22826</v>
      </c>
      <c r="I6" s="6">
        <v>22826</v>
      </c>
      <c r="J6" s="6">
        <v>22826</v>
      </c>
      <c r="L6" s="10" t="b">
        <f t="shared" si="2"/>
        <v>1</v>
      </c>
    </row>
    <row r="7" spans="1:12" x14ac:dyDescent="0.2">
      <c r="A7" s="13">
        <v>46364</v>
      </c>
      <c r="B7" s="14">
        <f>53</f>
        <v>53</v>
      </c>
      <c r="C7" s="6" t="s">
        <v>81</v>
      </c>
      <c r="D7" s="6">
        <f t="shared" si="0"/>
        <v>15840</v>
      </c>
      <c r="E7" s="6">
        <f t="shared" si="1"/>
        <v>15840</v>
      </c>
      <c r="I7" s="6">
        <v>15840</v>
      </c>
      <c r="J7" s="6">
        <v>15840</v>
      </c>
      <c r="L7" s="10" t="b">
        <f t="shared" si="2"/>
        <v>1</v>
      </c>
    </row>
    <row r="8" spans="1:12" x14ac:dyDescent="0.2">
      <c r="A8" s="13">
        <v>46366</v>
      </c>
      <c r="B8" s="14">
        <f>53</f>
        <v>53</v>
      </c>
      <c r="C8" s="6" t="s">
        <v>82</v>
      </c>
      <c r="D8" s="6">
        <f t="shared" si="0"/>
        <v>7335.9</v>
      </c>
      <c r="E8" s="6">
        <f t="shared" si="1"/>
        <v>7335.9</v>
      </c>
      <c r="I8" s="6">
        <v>7335.9</v>
      </c>
      <c r="J8" s="6">
        <v>7335.9</v>
      </c>
      <c r="L8" s="10" t="b">
        <f t="shared" si="2"/>
        <v>1</v>
      </c>
    </row>
    <row r="9" spans="1:12" x14ac:dyDescent="0.2">
      <c r="A9" s="13">
        <v>46371</v>
      </c>
      <c r="B9" s="14">
        <f>53</f>
        <v>53</v>
      </c>
      <c r="C9" s="6" t="s">
        <v>83</v>
      </c>
      <c r="D9" s="6">
        <f t="shared" si="0"/>
        <v>14044</v>
      </c>
      <c r="E9" s="6">
        <f t="shared" si="1"/>
        <v>14044</v>
      </c>
      <c r="I9" s="6">
        <v>14044</v>
      </c>
      <c r="J9" s="6">
        <v>14044</v>
      </c>
      <c r="L9" s="10" t="b">
        <f t="shared" si="2"/>
        <v>1</v>
      </c>
    </row>
    <row r="10" spans="1:12" x14ac:dyDescent="0.2">
      <c r="A10" s="13">
        <v>46371</v>
      </c>
      <c r="B10" s="14">
        <f>53</f>
        <v>53</v>
      </c>
      <c r="C10" s="6" t="s">
        <v>58</v>
      </c>
      <c r="D10" s="6">
        <f t="shared" si="0"/>
        <v>76250</v>
      </c>
      <c r="E10" s="6">
        <f t="shared" si="1"/>
        <v>76250</v>
      </c>
      <c r="G10" s="6">
        <v>76250</v>
      </c>
      <c r="K10" s="6">
        <v>76250</v>
      </c>
      <c r="L10" s="10" t="b">
        <f t="shared" si="2"/>
        <v>1</v>
      </c>
    </row>
    <row r="11" spans="1:12" x14ac:dyDescent="0.2">
      <c r="A11" s="13">
        <v>46371</v>
      </c>
      <c r="B11" s="14">
        <f>53</f>
        <v>53</v>
      </c>
      <c r="C11" s="6" t="s">
        <v>84</v>
      </c>
      <c r="D11" s="6">
        <f t="shared" si="0"/>
        <v>19010</v>
      </c>
      <c r="E11" s="6">
        <f t="shared" si="1"/>
        <v>19010</v>
      </c>
      <c r="H11" s="6">
        <v>19010</v>
      </c>
      <c r="J11" s="6">
        <v>19010</v>
      </c>
      <c r="L11" s="10" t="b">
        <f t="shared" si="2"/>
        <v>1</v>
      </c>
    </row>
    <row r="12" spans="1:12" x14ac:dyDescent="0.2">
      <c r="A12" s="13">
        <v>46373</v>
      </c>
      <c r="B12" s="14">
        <f>53</f>
        <v>53</v>
      </c>
      <c r="C12" s="6" t="s">
        <v>85</v>
      </c>
      <c r="D12" s="6">
        <f t="shared" si="0"/>
        <v>18810</v>
      </c>
      <c r="E12" s="6">
        <f t="shared" si="1"/>
        <v>18810</v>
      </c>
      <c r="H12" s="6">
        <v>18810</v>
      </c>
      <c r="J12" s="6">
        <v>18810</v>
      </c>
      <c r="L12" s="10" t="b">
        <f t="shared" si="2"/>
        <v>1</v>
      </c>
    </row>
    <row r="13" spans="1:12" x14ac:dyDescent="0.2">
      <c r="A13" s="13">
        <v>46375</v>
      </c>
      <c r="B13" s="14">
        <f>53</f>
        <v>53</v>
      </c>
      <c r="C13" s="6" t="s">
        <v>86</v>
      </c>
      <c r="D13" s="6">
        <f t="shared" si="0"/>
        <v>21120</v>
      </c>
      <c r="E13" s="6">
        <f t="shared" si="1"/>
        <v>21120</v>
      </c>
      <c r="I13" s="6">
        <v>21120</v>
      </c>
      <c r="J13" s="6">
        <v>21120</v>
      </c>
      <c r="L13" s="10" t="b">
        <f t="shared" si="2"/>
        <v>1</v>
      </c>
    </row>
    <row r="14" spans="1:12" x14ac:dyDescent="0.2">
      <c r="A14" s="13">
        <v>46381</v>
      </c>
      <c r="B14" s="14">
        <f>53</f>
        <v>53</v>
      </c>
      <c r="C14" s="6" t="s">
        <v>59</v>
      </c>
      <c r="D14" s="6">
        <f t="shared" si="0"/>
        <v>73600</v>
      </c>
      <c r="E14" s="6">
        <f t="shared" si="1"/>
        <v>73600</v>
      </c>
      <c r="G14" s="6">
        <v>73600</v>
      </c>
      <c r="K14" s="6">
        <v>73600</v>
      </c>
      <c r="L14" s="10" t="b">
        <f t="shared" si="2"/>
        <v>1</v>
      </c>
    </row>
    <row r="15" spans="1:12" x14ac:dyDescent="0.2">
      <c r="A15" s="11" t="s">
        <v>55</v>
      </c>
      <c r="B15" s="11"/>
      <c r="C15" s="11"/>
      <c r="D15" s="6">
        <f t="shared" si="0"/>
        <v>316653.65000000002</v>
      </c>
      <c r="E15" s="6">
        <f t="shared" si="1"/>
        <v>316653.65000000002</v>
      </c>
      <c r="F15" s="6">
        <f>SUM(F3:F14)</f>
        <v>27456</v>
      </c>
      <c r="G15" s="6">
        <f t="shared" ref="G15:L15" si="3">SUM(G3:G14)</f>
        <v>164568.75</v>
      </c>
      <c r="H15" s="6">
        <f t="shared" si="3"/>
        <v>37820</v>
      </c>
      <c r="I15" s="6">
        <f t="shared" si="3"/>
        <v>86808.9</v>
      </c>
      <c r="J15" s="6">
        <f t="shared" si="3"/>
        <v>124628.9</v>
      </c>
      <c r="K15" s="6">
        <f t="shared" si="3"/>
        <v>192024.75</v>
      </c>
      <c r="L15" s="10" t="b">
        <f t="shared" si="2"/>
        <v>1</v>
      </c>
    </row>
  </sheetData>
  <mergeCells count="6">
    <mergeCell ref="J1:K1"/>
    <mergeCell ref="D1:E1"/>
    <mergeCell ref="B1:B2"/>
    <mergeCell ref="C1:C2"/>
    <mergeCell ref="A1:A2"/>
    <mergeCell ref="A15:C15"/>
  </mergeCells>
  <phoneticPr fontId="2" type="noConversion"/>
  <conditionalFormatting sqref="L1 L3:L15">
    <cfRule type="cellIs" dxfId="8" priority="1" operator="equal">
      <formula>FALSE</formula>
    </cfRule>
  </conditionalFormatting>
  <conditionalFormatting sqref="L1 L3:L15 L24:L1048576">
    <cfRule type="cellIs" dxfId="7" priority="2" operator="equal">
      <formula>"FALSE"</formula>
    </cfRule>
    <cfRule type="cellIs" dxfId="6" priority="3" operator="equal">
      <formula>TRUE</formula>
    </cfRule>
  </conditionalFormatting>
  <conditionalFormatting sqref="L3:L15 L1 L24:L1048576">
    <cfRule type="colorScale" priority="4">
      <colorScale>
        <cfvo type="min"/>
        <cfvo type="max"/>
        <color rgb="FFFF7128"/>
        <color rgb="FFFFEF9C"/>
      </colorScale>
    </cfRule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1AA51-76BE-4FEE-90C5-728E6E451ED1}">
  <dimension ref="A1:Q11"/>
  <sheetViews>
    <sheetView rightToLeft="1" zoomScale="170" zoomScaleNormal="170" workbookViewId="0">
      <pane ySplit="1" topLeftCell="A2" activePane="bottomLeft" state="frozen"/>
      <selection pane="bottomLeft" activeCell="M14" sqref="M14"/>
    </sheetView>
  </sheetViews>
  <sheetFormatPr defaultRowHeight="14.25" x14ac:dyDescent="0.2"/>
  <cols>
    <col min="1" max="1" width="4.125" style="17" bestFit="1" customWidth="1"/>
    <col min="2" max="2" width="12.25" style="15" bestFit="1" customWidth="1"/>
    <col min="3" max="3" width="12.25" style="15" customWidth="1"/>
    <col min="4" max="5" width="10.125" style="15" bestFit="1" customWidth="1"/>
    <col min="6" max="6" width="9.25" style="15" bestFit="1" customWidth="1"/>
    <col min="7" max="7" width="10.125" style="15" bestFit="1" customWidth="1"/>
    <col min="8" max="8" width="9" style="15"/>
    <col min="9" max="9" width="10.75" style="15" bestFit="1" customWidth="1"/>
    <col min="10" max="10" width="10.25" style="15" bestFit="1" customWidth="1"/>
    <col min="11" max="11" width="9.25" style="15" bestFit="1" customWidth="1"/>
    <col min="12" max="12" width="9" style="15"/>
    <col min="13" max="13" width="10.125" style="15" bestFit="1" customWidth="1"/>
    <col min="14" max="14" width="7.75" style="15" bestFit="1" customWidth="1"/>
    <col min="15" max="15" width="10.25" style="15" bestFit="1" customWidth="1"/>
    <col min="16" max="16" width="9.25" style="15" bestFit="1" customWidth="1"/>
    <col min="17" max="17" width="8.5" style="1" bestFit="1" customWidth="1"/>
    <col min="18" max="16384" width="9" style="15"/>
  </cols>
  <sheetData>
    <row r="1" spans="1:17" ht="42.75" x14ac:dyDescent="0.2">
      <c r="A1" s="18" t="s">
        <v>60</v>
      </c>
      <c r="B1" s="16" t="s">
        <v>1</v>
      </c>
      <c r="C1" s="16" t="s">
        <v>2</v>
      </c>
      <c r="D1" s="16"/>
      <c r="E1" s="21" t="s">
        <v>61</v>
      </c>
      <c r="F1" s="22" t="s">
        <v>62</v>
      </c>
      <c r="G1" s="21" t="s">
        <v>50</v>
      </c>
      <c r="H1" s="21" t="s">
        <v>51</v>
      </c>
      <c r="I1" s="21" t="s">
        <v>63</v>
      </c>
      <c r="J1" s="23" t="s">
        <v>64</v>
      </c>
      <c r="K1" s="24" t="s">
        <v>66</v>
      </c>
      <c r="L1" s="23" t="s">
        <v>52</v>
      </c>
      <c r="M1" s="23" t="s">
        <v>53</v>
      </c>
      <c r="N1" s="24" t="s">
        <v>65</v>
      </c>
      <c r="O1" s="16" t="s">
        <v>54</v>
      </c>
      <c r="P1" s="16"/>
      <c r="Q1" s="1" t="s">
        <v>18</v>
      </c>
    </row>
    <row r="2" spans="1:17" x14ac:dyDescent="0.2">
      <c r="A2" s="18"/>
      <c r="B2" s="16"/>
      <c r="C2" s="15" t="s">
        <v>42</v>
      </c>
      <c r="D2" s="15" t="s">
        <v>12</v>
      </c>
      <c r="E2" s="21" t="s">
        <v>12</v>
      </c>
      <c r="F2" s="22" t="s">
        <v>12</v>
      </c>
      <c r="G2" s="21" t="s">
        <v>11</v>
      </c>
      <c r="H2" s="21" t="s">
        <v>11</v>
      </c>
      <c r="I2" s="21" t="s">
        <v>11</v>
      </c>
      <c r="J2" s="23" t="s">
        <v>11</v>
      </c>
      <c r="K2" s="24" t="s">
        <v>11</v>
      </c>
      <c r="L2" s="23" t="s">
        <v>12</v>
      </c>
      <c r="M2" s="23" t="s">
        <v>12</v>
      </c>
      <c r="N2" s="24" t="s">
        <v>12</v>
      </c>
      <c r="O2" s="15" t="s">
        <v>11</v>
      </c>
      <c r="P2" s="15" t="s">
        <v>12</v>
      </c>
    </row>
    <row r="3" spans="1:17" x14ac:dyDescent="0.2">
      <c r="A3" s="17">
        <v>23</v>
      </c>
      <c r="B3" s="15" t="s">
        <v>67</v>
      </c>
      <c r="C3" s="15">
        <f>G3+H3+I3+J3+K3+O3</f>
        <v>11880</v>
      </c>
      <c r="D3" s="15">
        <f>E3+F3+L3+M3+N3+P3</f>
        <v>11880</v>
      </c>
      <c r="E3" s="21"/>
      <c r="F3" s="21">
        <f>E3/10</f>
        <v>0</v>
      </c>
      <c r="G3" s="21"/>
      <c r="H3" s="21"/>
      <c r="I3" s="21"/>
      <c r="J3" s="23">
        <v>10800</v>
      </c>
      <c r="K3" s="23">
        <f>J3/10</f>
        <v>1080</v>
      </c>
      <c r="L3" s="23"/>
      <c r="M3" s="23">
        <v>11880</v>
      </c>
      <c r="N3" s="23"/>
      <c r="Q3" s="1" t="b">
        <f>IF(D3=C3,TRUE,FALSE)</f>
        <v>1</v>
      </c>
    </row>
    <row r="4" spans="1:17" x14ac:dyDescent="0.2">
      <c r="A4" s="17">
        <v>23</v>
      </c>
      <c r="B4" s="15" t="s">
        <v>68</v>
      </c>
      <c r="C4" s="15">
        <f>G4+H4+I4+J4+K4+O4</f>
        <v>12375</v>
      </c>
      <c r="D4" s="15">
        <f>E4+F4+L4+M4+N4+P4</f>
        <v>12375</v>
      </c>
      <c r="E4" s="21">
        <v>11250</v>
      </c>
      <c r="F4" s="21">
        <f>E4/10</f>
        <v>1125</v>
      </c>
      <c r="G4" s="21">
        <v>11880</v>
      </c>
      <c r="H4" s="21"/>
      <c r="I4" s="21">
        <v>495</v>
      </c>
      <c r="J4" s="23"/>
      <c r="K4" s="23">
        <f t="shared" ref="K4:K9" si="0">J4/10</f>
        <v>0</v>
      </c>
      <c r="L4" s="23"/>
      <c r="M4" s="23"/>
      <c r="N4" s="23"/>
      <c r="Q4" s="1" t="b">
        <f t="shared" ref="Q4:Q17" si="1">IF(D4=C4,TRUE,FALSE)</f>
        <v>1</v>
      </c>
    </row>
    <row r="5" spans="1:17" x14ac:dyDescent="0.2">
      <c r="A5" s="17">
        <v>23</v>
      </c>
      <c r="B5" s="15" t="s">
        <v>69</v>
      </c>
      <c r="C5" s="15">
        <f t="shared" ref="C5:C10" si="2">G5+H5+I5+J5+K5+O5</f>
        <v>24255</v>
      </c>
      <c r="D5" s="15">
        <f>E5+F5+L5+M5+N5+P5</f>
        <v>24255</v>
      </c>
      <c r="E5" s="21">
        <f>SUM(E3:E4)</f>
        <v>11250</v>
      </c>
      <c r="F5" s="21">
        <f t="shared" ref="F5:P5" si="3">SUM(F3:F4)</f>
        <v>1125</v>
      </c>
      <c r="G5" s="21">
        <f t="shared" si="3"/>
        <v>11880</v>
      </c>
      <c r="H5" s="21">
        <f t="shared" si="3"/>
        <v>0</v>
      </c>
      <c r="I5" s="21">
        <f t="shared" si="3"/>
        <v>495</v>
      </c>
      <c r="J5" s="23">
        <f t="shared" si="3"/>
        <v>10800</v>
      </c>
      <c r="K5" s="23">
        <f t="shared" si="3"/>
        <v>1080</v>
      </c>
      <c r="L5" s="23">
        <f t="shared" si="3"/>
        <v>0</v>
      </c>
      <c r="M5" s="23">
        <f t="shared" si="3"/>
        <v>11880</v>
      </c>
      <c r="N5" s="23">
        <f t="shared" si="3"/>
        <v>0</v>
      </c>
      <c r="O5" s="15">
        <f t="shared" si="3"/>
        <v>0</v>
      </c>
      <c r="P5" s="15">
        <f t="shared" si="3"/>
        <v>0</v>
      </c>
      <c r="Q5" s="1" t="b">
        <f t="shared" si="1"/>
        <v>1</v>
      </c>
    </row>
    <row r="6" spans="1:17" x14ac:dyDescent="0.2">
      <c r="A6" s="17">
        <v>42</v>
      </c>
      <c r="B6" s="15" t="s">
        <v>87</v>
      </c>
      <c r="C6" s="15">
        <f t="shared" si="2"/>
        <v>12540</v>
      </c>
      <c r="D6" s="15">
        <f t="shared" ref="D6:D11" si="4">E6+F6+L6+M6+N6+P6</f>
        <v>12540</v>
      </c>
      <c r="E6" s="21"/>
      <c r="F6" s="21"/>
      <c r="G6" s="21"/>
      <c r="H6" s="21"/>
      <c r="I6" s="21"/>
      <c r="J6" s="23">
        <v>11400</v>
      </c>
      <c r="K6" s="23">
        <f t="shared" si="0"/>
        <v>1140</v>
      </c>
      <c r="L6" s="23"/>
      <c r="M6" s="23">
        <v>12540</v>
      </c>
      <c r="N6" s="23"/>
      <c r="Q6" s="1" t="b">
        <f t="shared" si="1"/>
        <v>1</v>
      </c>
    </row>
    <row r="7" spans="1:17" x14ac:dyDescent="0.2">
      <c r="A7" s="17">
        <v>42</v>
      </c>
      <c r="B7" s="15" t="s">
        <v>89</v>
      </c>
      <c r="C7" s="15">
        <f>G7+H7+I7+J7+K7+O7</f>
        <v>27500</v>
      </c>
      <c r="D7" s="15">
        <f>F7+E7+L7+M7+N7+P7</f>
        <v>27500</v>
      </c>
      <c r="E7" s="21">
        <v>25000</v>
      </c>
      <c r="F7" s="21">
        <f>E7/10</f>
        <v>2500</v>
      </c>
      <c r="G7" s="21">
        <v>0</v>
      </c>
      <c r="H7" s="21">
        <v>0</v>
      </c>
      <c r="I7" s="21">
        <v>1100</v>
      </c>
      <c r="J7" s="23"/>
      <c r="K7" s="23">
        <f t="shared" si="0"/>
        <v>0</v>
      </c>
      <c r="L7" s="23"/>
      <c r="M7" s="23"/>
      <c r="N7" s="23"/>
      <c r="O7" s="15">
        <v>26400</v>
      </c>
      <c r="Q7" s="1" t="b">
        <f t="shared" si="1"/>
        <v>1</v>
      </c>
    </row>
    <row r="8" spans="1:17" x14ac:dyDescent="0.2">
      <c r="A8" s="17">
        <v>42</v>
      </c>
      <c r="B8" s="15" t="s">
        <v>70</v>
      </c>
      <c r="C8" s="15">
        <f t="shared" si="2"/>
        <v>40040</v>
      </c>
      <c r="D8" s="15">
        <f t="shared" si="4"/>
        <v>40040</v>
      </c>
      <c r="E8" s="21">
        <f>SUM(E6:E7)</f>
        <v>25000</v>
      </c>
      <c r="F8" s="21">
        <f t="shared" ref="F8:P8" si="5">SUM(F6:F7)</f>
        <v>2500</v>
      </c>
      <c r="G8" s="21">
        <f t="shared" si="5"/>
        <v>0</v>
      </c>
      <c r="H8" s="21">
        <f t="shared" si="5"/>
        <v>0</v>
      </c>
      <c r="I8" s="21">
        <f t="shared" si="5"/>
        <v>1100</v>
      </c>
      <c r="J8" s="23">
        <f t="shared" si="5"/>
        <v>11400</v>
      </c>
      <c r="K8" s="23">
        <f t="shared" si="5"/>
        <v>1140</v>
      </c>
      <c r="L8" s="23">
        <f t="shared" si="5"/>
        <v>0</v>
      </c>
      <c r="M8" s="23">
        <f t="shared" si="5"/>
        <v>12540</v>
      </c>
      <c r="N8" s="23">
        <f t="shared" si="5"/>
        <v>0</v>
      </c>
      <c r="O8" s="25">
        <f t="shared" si="5"/>
        <v>26400</v>
      </c>
      <c r="P8" s="25">
        <f t="shared" si="5"/>
        <v>0</v>
      </c>
      <c r="Q8" s="1" t="b">
        <f t="shared" si="1"/>
        <v>1</v>
      </c>
    </row>
    <row r="9" spans="1:17" x14ac:dyDescent="0.2">
      <c r="A9" s="17">
        <v>53</v>
      </c>
      <c r="B9" s="15" t="s">
        <v>88</v>
      </c>
      <c r="C9" s="15">
        <f t="shared" si="2"/>
        <v>7260</v>
      </c>
      <c r="D9" s="15">
        <f t="shared" si="4"/>
        <v>7260</v>
      </c>
      <c r="E9" s="21"/>
      <c r="F9" s="21">
        <f t="shared" ref="F9:F10" si="6">E9/10</f>
        <v>0</v>
      </c>
      <c r="G9" s="21"/>
      <c r="H9" s="21"/>
      <c r="I9" s="21"/>
      <c r="J9" s="23">
        <v>6600</v>
      </c>
      <c r="K9" s="23">
        <f t="shared" si="0"/>
        <v>660</v>
      </c>
      <c r="L9" s="23">
        <v>0</v>
      </c>
      <c r="M9" s="23">
        <v>0</v>
      </c>
      <c r="N9" s="23">
        <v>363</v>
      </c>
      <c r="P9" s="15">
        <v>6897</v>
      </c>
      <c r="Q9" s="1" t="b">
        <f t="shared" si="1"/>
        <v>1</v>
      </c>
    </row>
    <row r="10" spans="1:17" x14ac:dyDescent="0.2">
      <c r="A10" s="17">
        <v>53</v>
      </c>
      <c r="B10" s="15" t="s">
        <v>90</v>
      </c>
      <c r="C10" s="15">
        <f t="shared" si="2"/>
        <v>18150</v>
      </c>
      <c r="D10" s="15">
        <f t="shared" si="4"/>
        <v>18150</v>
      </c>
      <c r="E10" s="21">
        <v>16500</v>
      </c>
      <c r="F10" s="21">
        <f t="shared" si="6"/>
        <v>1650</v>
      </c>
      <c r="G10" s="21">
        <v>17787</v>
      </c>
      <c r="H10" s="21">
        <v>0</v>
      </c>
      <c r="I10" s="21">
        <v>363</v>
      </c>
      <c r="J10" s="23"/>
      <c r="K10" s="23"/>
      <c r="L10" s="23"/>
      <c r="M10" s="23"/>
      <c r="N10" s="23"/>
      <c r="Q10" s="1" t="b">
        <f t="shared" si="1"/>
        <v>1</v>
      </c>
    </row>
    <row r="11" spans="1:17" x14ac:dyDescent="0.2">
      <c r="A11" s="17">
        <v>53</v>
      </c>
      <c r="B11" s="15" t="s">
        <v>71</v>
      </c>
      <c r="C11" s="15">
        <f>G11+H11+I11+J11+K11+O11</f>
        <v>25410</v>
      </c>
      <c r="D11" s="15">
        <f t="shared" si="4"/>
        <v>25410</v>
      </c>
      <c r="E11" s="21">
        <f>SUM(E9:E10)</f>
        <v>16500</v>
      </c>
      <c r="F11" s="21">
        <f t="shared" ref="F11:H11" si="7">SUM(F9:F10)</f>
        <v>1650</v>
      </c>
      <c r="G11" s="21">
        <f t="shared" si="7"/>
        <v>17787</v>
      </c>
      <c r="H11" s="21">
        <f t="shared" si="7"/>
        <v>0</v>
      </c>
      <c r="I11" s="21">
        <f>SUM(I9:I10)</f>
        <v>363</v>
      </c>
      <c r="J11" s="23">
        <f>SUM(J9:J10)</f>
        <v>6600</v>
      </c>
      <c r="K11" s="23">
        <f t="shared" ref="K11:N11" si="8">SUM(K9:K10)</f>
        <v>660</v>
      </c>
      <c r="L11" s="23">
        <f t="shared" si="8"/>
        <v>0</v>
      </c>
      <c r="M11" s="23">
        <f t="shared" si="8"/>
        <v>0</v>
      </c>
      <c r="N11" s="23">
        <f t="shared" si="8"/>
        <v>363</v>
      </c>
      <c r="O11" s="15">
        <f>SUM(O9:O10)</f>
        <v>0</v>
      </c>
      <c r="P11" s="15">
        <f>SUM(P9:P10)</f>
        <v>6897</v>
      </c>
      <c r="Q11" s="1" t="b">
        <f t="shared" si="1"/>
        <v>1</v>
      </c>
    </row>
  </sheetData>
  <mergeCells count="4">
    <mergeCell ref="O1:P1"/>
    <mergeCell ref="B1:B2"/>
    <mergeCell ref="A1:A2"/>
    <mergeCell ref="C1:D1"/>
  </mergeCells>
  <conditionalFormatting sqref="Q1 Q3:Q11">
    <cfRule type="cellIs" dxfId="5" priority="1" operator="equal">
      <formula>FALSE</formula>
    </cfRule>
  </conditionalFormatting>
  <conditionalFormatting sqref="Q1 Q3:Q11 Q24:Q1048576">
    <cfRule type="cellIs" dxfId="4" priority="2" operator="equal">
      <formula>"FALSE"</formula>
    </cfRule>
    <cfRule type="cellIs" dxfId="3" priority="3" operator="equal">
      <formula>TRUE</formula>
    </cfRule>
  </conditionalFormatting>
  <conditionalFormatting sqref="Q3:Q11 Q1 Q24:Q1048576">
    <cfRule type="colorScale" priority="4">
      <colorScale>
        <cfvo type="min"/>
        <cfvo type="max"/>
        <color rgb="FFFF7128"/>
        <color rgb="FFFFEF9C"/>
      </colorScale>
    </cfRule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ignoredErrors>
    <ignoredError sqref="D4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دفتر يومية المشتريات</vt:lpstr>
      <vt:lpstr>دفتر  يومية مبيعات</vt:lpstr>
      <vt:lpstr>دفتر حسابات الاجلة</vt:lpstr>
      <vt:lpstr>دفتر مردودات البيع والشراء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Abdelwahab Anwr</dc:creator>
  <cp:lastModifiedBy>Abdelwahab Anwr</cp:lastModifiedBy>
  <dcterms:created xsi:type="dcterms:W3CDTF">2015-06-05T18:17:20Z</dcterms:created>
  <dcterms:modified xsi:type="dcterms:W3CDTF">2026-10-16T15:52:44Z</dcterms:modified>
</cp:coreProperties>
</file>